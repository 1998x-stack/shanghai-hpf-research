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ualRaw" sheetId="1" state="visible" r:id="rId1"/>
    <sheet xmlns:r="http://schemas.openxmlformats.org/officeDocument/2006/relationships" name="DistrictRaw" sheetId="2" state="visible" r:id="rId2"/>
    <sheet xmlns:r="http://schemas.openxmlformats.org/officeDocument/2006/relationships" name="CityMonthly" sheetId="3" state="visible" r:id="rId3"/>
    <sheet xmlns:r="http://schemas.openxmlformats.org/officeDocument/2006/relationships" name="DistrictBridge" sheetId="4" state="visible" r:id="rId4"/>
    <sheet xmlns:r="http://schemas.openxmlformats.org/officeDocument/2006/relationships" name="Withdrawals" sheetId="5" state="visible" r:id="rId5"/>
    <sheet xmlns:r="http://schemas.openxmlformats.org/officeDocument/2006/relationships" name="IncomeGroups" sheetId="6" state="visible" r:id="rId6"/>
    <sheet xmlns:r="http://schemas.openxmlformats.org/officeDocument/2006/relationships" name="LoanMix" sheetId="7" state="visible" r:id="rId7"/>
    <sheet xmlns:r="http://schemas.openxmlformats.org/officeDocument/2006/relationships" name="ContributorGroups" sheetId="8" state="visible" r:id="rId8"/>
    <sheet xmlns:r="http://schemas.openxmlformats.org/officeDocument/2006/relationships" name="Financial" sheetId="9" state="visible" r:id="rId9"/>
    <sheet xmlns:r="http://schemas.openxmlformats.org/officeDocument/2006/relationships" name="CenterFiscal" sheetId="10" state="visible" r:id="rId10"/>
    <sheet xmlns:r="http://schemas.openxmlformats.org/officeDocument/2006/relationships" name="ReserveAllocation" sheetId="11" state="visible" r:id="rId11"/>
    <sheet xmlns:r="http://schemas.openxmlformats.org/officeDocument/2006/relationships" name="Policy" sheetId="12" state="visible" r:id="rId12"/>
    <sheet xmlns:r="http://schemas.openxmlformats.org/officeDocument/2006/relationships" name="MarketContext" sheetId="13" state="visible" r:id="rId13"/>
    <sheet xmlns:r="http://schemas.openxmlformats.org/officeDocument/2006/relationships" name="Sources" sheetId="14" state="visible" r:id="rId14"/>
    <sheet xmlns:r="http://schemas.openxmlformats.org/officeDocument/2006/relationships" name="AnnualSourceAudit" sheetId="15" state="visible" r:id="rId15"/>
    <sheet xmlns:r="http://schemas.openxmlformats.org/officeDocument/2006/relationships" name="DataGaps" sheetId="16" state="visible" r:id="rId16"/>
    <sheet xmlns:r="http://schemas.openxmlformats.org/officeDocument/2006/relationships" name="FiscalBridge" sheetId="17" state="visible" r:id="rId17"/>
    <sheet xmlns:r="http://schemas.openxmlformats.org/officeDocument/2006/relationships" name="LoanSensitivity" sheetId="18" state="visible" r:id="rId18"/>
    <sheet xmlns:r="http://schemas.openxmlformats.org/officeDocument/2006/relationships" name="LiquiditySensitivity" sheetId="19" state="visible" r:id="rId19"/>
  </sheets>
  <definedNames>
    <definedName name="_xlnm._FilterDatabase" localSheetId="0" hidden="1">'AnnualRaw'!$A$1:$L$12</definedName>
    <definedName name="_xlnm._FilterDatabase" localSheetId="1" hidden="1">'DistrictRaw'!$A$1:$J$769</definedName>
    <definedName name="_xlnm._FilterDatabase" localSheetId="2" hidden="1">'CityMonthly'!$A$1:$G$49</definedName>
    <definedName name="_xlnm._FilterDatabase" localSheetId="3" hidden="1">'DistrictBridge'!$A$1:$K$5</definedName>
    <definedName name="_xlnm._FilterDatabase" localSheetId="4" hidden="1">'Withdrawals'!$A$1:$H$17</definedName>
    <definedName name="_xlnm._FilterDatabase" localSheetId="5" hidden="1">'IncomeGroups'!$A$1:$F$4</definedName>
    <definedName name="_xlnm._FilterDatabase" localSheetId="6" hidden="1">'LoanMix'!$A$1:$F$9</definedName>
    <definedName name="_xlnm._FilterDatabase" localSheetId="7" hidden="1">'ContributorGroups'!$A$1:$E$12</definedName>
    <definedName name="_xlnm._FilterDatabase" localSheetId="8" hidden="1">'Financial'!$A$1:$E$42</definedName>
    <definedName name="_xlnm._FilterDatabase" localSheetId="9" hidden="1">'CenterFiscal'!$A$1:$F$15</definedName>
    <definedName name="_xlnm._FilterDatabase" localSheetId="10" hidden="1">'ReserveAllocation'!$A$1:$F$12</definedName>
    <definedName name="_xlnm._FilterDatabase" localSheetId="11" hidden="1">'Policy'!$A$1:$E$14</definedName>
    <definedName name="_xlnm._FilterDatabase" localSheetId="12" hidden="1">'MarketContext'!$A$1:$F$13</definedName>
    <definedName name="_xlnm._FilterDatabase" localSheetId="13" hidden="1">'Sources'!$A$1:$L$80</definedName>
    <definedName name="_xlnm._FilterDatabase" localSheetId="14" hidden="1">'AnnualSourceAudit'!$A$1:$F$78</definedName>
    <definedName name="_xlnm._FilterDatabase" localSheetId="15" hidden="1">'DataGaps'!$A$1:$I$11</definedName>
    <definedName name="_xlnm._FilterDatabase" localSheetId="16" hidden="1">'FiscalBridge'!$A$1:$G$3</definedName>
    <definedName name="_xlnm._FilterDatabase" localSheetId="17" hidden="1">'LoanSensitivity'!$A$1:$I$4</definedName>
    <definedName name="_xlnm._FilterDatabase" localSheetId="18" hidden="1">'LiquiditySensitivity'!$A$1:$F$3</definedName>
  </definedNames>
  <calcPr calcId="124519" calcMode="auto"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9" customWidth="1" min="3" max="3"/>
    <col width="21" customWidth="1" min="4" max="4"/>
    <col width="19" customWidth="1" min="5" max="5"/>
    <col width="20" customWidth="1" min="6" max="6"/>
    <col width="19" customWidth="1" min="7" max="7"/>
    <col width="22" customWidth="1" min="8" max="8"/>
    <col width="20" customWidth="1" min="9" max="9"/>
    <col width="17" customWidth="1" min="10" max="10"/>
    <col width="13" customWidth="1" min="11" max="11"/>
    <col width="14" customWidth="1" min="12" max="12"/>
  </cols>
  <sheetData>
    <row r="1">
      <c r="A1" s="1" t="inlineStr">
        <is>
          <t>year</t>
        </is>
      </c>
      <c r="B1" s="1" t="inlineStr">
        <is>
          <t>units_10k</t>
        </is>
      </c>
      <c r="C1" s="1" t="inlineStr">
        <is>
          <t>contributors_10k</t>
        </is>
      </c>
      <c r="D1" s="1" t="inlineStr">
        <is>
          <t>contributions_100m</t>
        </is>
      </c>
      <c r="E1" s="1" t="inlineStr">
        <is>
          <t>withdrawals_100m</t>
        </is>
      </c>
      <c r="F1" s="1" t="inlineStr">
        <is>
          <t>fund_balance_100m</t>
        </is>
      </c>
      <c r="G1" s="1" t="inlineStr">
        <is>
          <t>loan_issued_100m</t>
        </is>
      </c>
      <c r="H1" s="1" t="inlineStr">
        <is>
          <t>loan_recovered_100m</t>
        </is>
      </c>
      <c r="I1" s="1" t="inlineStr">
        <is>
          <t>loan_balance_100m</t>
        </is>
      </c>
      <c r="J1" s="1" t="inlineStr">
        <is>
          <t>loan_count_10k</t>
        </is>
      </c>
      <c r="K1" s="1" t="inlineStr">
        <is>
          <t>source_url</t>
        </is>
      </c>
      <c r="L1" s="1" t="inlineStr">
        <is>
          <t>source_type</t>
        </is>
      </c>
      <c r="M1" t="inlineStr">
        <is>
          <t>loan_ratio_pct_formula</t>
        </is>
      </c>
      <c r="N1" t="inlineStr">
        <is>
          <t>fund_flow_residual_formula</t>
        </is>
      </c>
      <c r="O1" t="inlineStr">
        <is>
          <t>loan_flow_residual_formula</t>
        </is>
      </c>
    </row>
    <row r="2">
      <c r="A2" t="n">
        <v>2015</v>
      </c>
      <c r="B2" t="n">
        <v>26.99</v>
      </c>
      <c r="C2" t="n">
        <v>714.36</v>
      </c>
      <c r="D2" t="n">
        <v>880.96</v>
      </c>
      <c r="E2" t="n">
        <v>510.48</v>
      </c>
      <c r="F2" t="n">
        <v>2822.57</v>
      </c>
      <c r="G2" t="n">
        <v>1192.87</v>
      </c>
      <c r="H2" t="n">
        <v>362.93</v>
      </c>
      <c r="I2" t="n">
        <v>2770.08</v>
      </c>
      <c r="J2" t="n">
        <v>19.96</v>
      </c>
      <c r="K2" t="inlineStr">
        <is>
          <t>https://www.shzfgjj.cn/html/newxxgk/ndbg/208089.html</t>
        </is>
      </c>
      <c r="L2" t="inlineStr">
        <is>
          <t>official indexed text transcription</t>
        </is>
      </c>
      <c r="M2">
        <f>I2/F2*100</f>
        <v/>
      </c>
    </row>
    <row r="3">
      <c r="A3" t="n">
        <v>2016</v>
      </c>
      <c r="B3" t="n">
        <v>31.39</v>
      </c>
      <c r="C3" t="n">
        <v>764.74</v>
      </c>
      <c r="D3" t="n">
        <v>1018.58</v>
      </c>
      <c r="E3" t="n">
        <v>659.37</v>
      </c>
      <c r="F3" t="n">
        <v>3181.79</v>
      </c>
      <c r="G3" t="n">
        <v>1184.59</v>
      </c>
      <c r="H3" t="n">
        <v>384.88</v>
      </c>
      <c r="I3" t="n">
        <v>3257.77</v>
      </c>
      <c r="J3" t="n">
        <v>18.3</v>
      </c>
      <c r="K3" t="inlineStr">
        <is>
          <t>https://www.shzfgjj.cn/html/newxxgk/ndbg/208088.html</t>
        </is>
      </c>
      <c r="L3" t="inlineStr">
        <is>
          <t>official indexed text transcription</t>
        </is>
      </c>
      <c r="M3">
        <f>I3/F3*100</f>
        <v/>
      </c>
      <c r="N3">
        <f>F3-F2-D3+E3</f>
        <v/>
      </c>
      <c r="O3">
        <f>I3-I2-G3+H3+312.02</f>
        <v/>
      </c>
    </row>
    <row r="4">
      <c r="A4" t="n">
        <v>2017</v>
      </c>
      <c r="B4" t="n">
        <v>35.24</v>
      </c>
      <c r="C4" t="n">
        <v>809.91</v>
      </c>
      <c r="D4" t="n">
        <v>1133.69</v>
      </c>
      <c r="E4" t="n">
        <v>737.09</v>
      </c>
      <c r="F4" t="n">
        <v>3578.39</v>
      </c>
      <c r="G4" t="n">
        <v>586.28</v>
      </c>
      <c r="H4" t="n">
        <v>313.03</v>
      </c>
      <c r="I4" t="n">
        <v>3531.01</v>
      </c>
      <c r="J4" t="n">
        <v>9.279999999999999</v>
      </c>
      <c r="K4" t="inlineStr">
        <is>
          <t>https://www.shzfgjj.cn/html/newxxgk/ndbg/208087.html</t>
        </is>
      </c>
      <c r="L4" t="inlineStr">
        <is>
          <t>official indexed text transcription</t>
        </is>
      </c>
      <c r="M4">
        <f>I4/F4*100</f>
        <v/>
      </c>
      <c r="N4">
        <f>F4-F3-D4+E4</f>
        <v/>
      </c>
      <c r="O4">
        <f>I4-I3-G4+H4</f>
        <v/>
      </c>
    </row>
    <row r="5">
      <c r="A5" t="n">
        <v>2018</v>
      </c>
      <c r="B5" t="n">
        <v>39.31</v>
      </c>
      <c r="C5" t="n">
        <v>861.21</v>
      </c>
      <c r="D5" t="n">
        <v>1305.2</v>
      </c>
      <c r="E5" t="n">
        <v>788.96</v>
      </c>
      <c r="F5" t="n">
        <v>4094.62</v>
      </c>
      <c r="G5" t="n">
        <v>729.6799999999999</v>
      </c>
      <c r="H5" t="n">
        <v>338.74</v>
      </c>
      <c r="I5" t="n">
        <v>3921.96</v>
      </c>
      <c r="J5" t="n">
        <v>11.07</v>
      </c>
      <c r="K5" t="inlineStr">
        <is>
          <t>https://www.shzfgjj.cn/html/newxxgk/ndbg/208086.html</t>
        </is>
      </c>
      <c r="L5" t="inlineStr">
        <is>
          <t>official indexed text transcription</t>
        </is>
      </c>
      <c r="M5">
        <f>I5/F5*100</f>
        <v/>
      </c>
      <c r="N5">
        <f>F5-F4-D5+E5</f>
        <v/>
      </c>
      <c r="O5">
        <f>I5-I4-G5+H5</f>
        <v/>
      </c>
    </row>
    <row r="6">
      <c r="A6" t="n">
        <v>2019</v>
      </c>
      <c r="B6" t="n">
        <v>42.67</v>
      </c>
      <c r="C6" t="n">
        <v>882.78</v>
      </c>
      <c r="D6" t="n">
        <v>1533.57</v>
      </c>
      <c r="E6" t="n">
        <v>907.0599999999999</v>
      </c>
      <c r="F6" t="n">
        <v>4721.13</v>
      </c>
      <c r="G6" t="n">
        <v>939.1799999999999</v>
      </c>
      <c r="H6" t="n">
        <v>411.08</v>
      </c>
      <c r="I6" t="n">
        <v>4450.05</v>
      </c>
      <c r="J6" t="n">
        <v>14.08</v>
      </c>
      <c r="K6" t="inlineStr">
        <is>
          <t>https://www.shzfgjj.cn/html/newxxgk/ndbg/208085.html</t>
        </is>
      </c>
      <c r="L6" t="inlineStr">
        <is>
          <t>official indexed text transcription</t>
        </is>
      </c>
      <c r="M6">
        <f>I6/F6*100</f>
        <v/>
      </c>
      <c r="N6">
        <f>F6-F5-D6+E6</f>
        <v/>
      </c>
      <c r="O6">
        <f>I6-I5-G6+H6</f>
        <v/>
      </c>
    </row>
    <row r="7">
      <c r="A7" t="n">
        <v>2020</v>
      </c>
      <c r="B7" t="n">
        <v>45.15</v>
      </c>
      <c r="C7" t="n">
        <v>884.33</v>
      </c>
      <c r="D7" t="n">
        <v>1687.39</v>
      </c>
      <c r="E7" t="n">
        <v>1046.75</v>
      </c>
      <c r="F7" t="n">
        <v>5361.77</v>
      </c>
      <c r="G7" t="n">
        <v>1029.18</v>
      </c>
      <c r="H7" t="n">
        <v>500.48</v>
      </c>
      <c r="I7" t="n">
        <v>4978.75</v>
      </c>
      <c r="J7" t="n">
        <v>15.08</v>
      </c>
      <c r="K7" t="inlineStr">
        <is>
          <t>https://www.shzfgjj.cn/html/zyxw/209278.html</t>
        </is>
      </c>
      <c r="L7" t="inlineStr">
        <is>
          <t>official indexed text transcription</t>
        </is>
      </c>
      <c r="M7">
        <f>I7/F7*100</f>
        <v/>
      </c>
      <c r="N7">
        <f>F7-F6-D7+E7</f>
        <v/>
      </c>
      <c r="O7">
        <f>I7-I6-G7+H7</f>
        <v/>
      </c>
    </row>
    <row r="8">
      <c r="A8" t="n">
        <v>2021</v>
      </c>
      <c r="B8" t="n">
        <v>49.84</v>
      </c>
      <c r="C8" t="n">
        <v>925.05</v>
      </c>
      <c r="D8" t="n">
        <v>1943.1</v>
      </c>
      <c r="E8" t="n">
        <v>1236.24</v>
      </c>
      <c r="F8" t="n">
        <v>6068.64</v>
      </c>
      <c r="G8" t="n">
        <v>1151.65</v>
      </c>
      <c r="H8" t="n">
        <v>549.53</v>
      </c>
      <c r="I8" t="n">
        <v>5580.86</v>
      </c>
      <c r="J8" t="n">
        <v>16.5</v>
      </c>
      <c r="K8" t="inlineStr">
        <is>
          <t>https://www.shzfgjj.cn/html/newxxgk/ndbg/209227.html</t>
        </is>
      </c>
      <c r="L8" t="inlineStr">
        <is>
          <t>official indexed text transcription</t>
        </is>
      </c>
      <c r="M8">
        <f>I8/F8*100</f>
        <v/>
      </c>
      <c r="N8">
        <f>F8-F7-D8+E8</f>
        <v/>
      </c>
      <c r="O8">
        <f>I8-I7-G8+H8</f>
        <v/>
      </c>
    </row>
    <row r="9">
      <c r="A9" t="n">
        <v>2022</v>
      </c>
      <c r="B9" t="n">
        <v>52.13</v>
      </c>
      <c r="C9" t="n">
        <v>936.2</v>
      </c>
      <c r="D9" t="n">
        <v>2227.22</v>
      </c>
      <c r="E9" t="n">
        <v>1379.44</v>
      </c>
      <c r="F9" t="n">
        <v>6916.42</v>
      </c>
      <c r="G9" t="n">
        <v>842.76</v>
      </c>
      <c r="H9" t="n">
        <v>551.37</v>
      </c>
      <c r="I9" t="n">
        <v>5872.25</v>
      </c>
      <c r="J9" t="n">
        <v>11.3</v>
      </c>
      <c r="K9" t="inlineStr">
        <is>
          <t>https://www.shzfgjj.cn/html/newxxgk/ndbg/213689.html</t>
        </is>
      </c>
      <c r="L9" t="inlineStr">
        <is>
          <t>official indexed text transcription</t>
        </is>
      </c>
      <c r="M9">
        <f>I9/F9*100</f>
        <v/>
      </c>
      <c r="N9">
        <f>F9-F8-D9+E9</f>
        <v/>
      </c>
      <c r="O9">
        <f>I9-I8-G9+H9</f>
        <v/>
      </c>
    </row>
    <row r="10">
      <c r="A10" t="n">
        <v>2023</v>
      </c>
      <c r="B10" t="n">
        <v>56.01</v>
      </c>
      <c r="C10" t="n">
        <v>944.26</v>
      </c>
      <c r="D10" t="n">
        <v>2473.1</v>
      </c>
      <c r="E10" t="n">
        <v>1644.51</v>
      </c>
      <c r="F10" t="n">
        <v>7745.01</v>
      </c>
      <c r="G10" t="n">
        <v>832.46</v>
      </c>
      <c r="H10" t="n">
        <v>682.42</v>
      </c>
      <c r="I10" t="n">
        <v>6022.29</v>
      </c>
      <c r="J10" t="n">
        <v>11.02</v>
      </c>
      <c r="K10" t="inlineStr">
        <is>
          <t>https://www.shzfgjj.cn/html/newxxgk/ndbg/220229.html</t>
        </is>
      </c>
      <c r="L10" t="inlineStr">
        <is>
          <t>official indexed text transcription</t>
        </is>
      </c>
      <c r="M10">
        <f>I10/F10*100</f>
        <v/>
      </c>
      <c r="N10">
        <f>F10-F9-D10+E10</f>
        <v/>
      </c>
      <c r="O10">
        <f>I10-I9-G10+H10</f>
        <v/>
      </c>
    </row>
    <row r="11">
      <c r="A11" t="n">
        <v>2024</v>
      </c>
      <c r="B11" t="n">
        <v>59.05</v>
      </c>
      <c r="C11" t="n">
        <v>931.26</v>
      </c>
      <c r="D11" t="n">
        <v>2594.47</v>
      </c>
      <c r="E11" t="n">
        <v>1693.9</v>
      </c>
      <c r="F11" t="n">
        <v>8645.58</v>
      </c>
      <c r="G11" t="n">
        <v>951.23</v>
      </c>
      <c r="H11" t="n">
        <v>781.58</v>
      </c>
      <c r="I11" t="n">
        <v>6191.94</v>
      </c>
      <c r="J11" t="n">
        <v>10.9</v>
      </c>
      <c r="K11" t="inlineStr">
        <is>
          <t>https://www.shzfgjj.cn/html/newxxgk/ndbg/227250.html</t>
        </is>
      </c>
      <c r="L11" t="inlineStr">
        <is>
          <t>official indexed text transcription</t>
        </is>
      </c>
      <c r="M11">
        <f>I11/F11*100</f>
        <v/>
      </c>
      <c r="N11">
        <f>F11-F10-D11+E11</f>
        <v/>
      </c>
      <c r="O11">
        <f>I11-I10-G11+H11</f>
        <v/>
      </c>
    </row>
    <row r="12">
      <c r="A12" t="n">
        <v>2025</v>
      </c>
      <c r="B12" t="n">
        <v>60.88</v>
      </c>
      <c r="C12" t="n">
        <v>923.26</v>
      </c>
      <c r="D12" t="n">
        <v>2663.65</v>
      </c>
      <c r="E12" t="n">
        <v>1842.64</v>
      </c>
      <c r="F12" t="n">
        <v>9466.59</v>
      </c>
      <c r="G12" t="n">
        <v>869.6</v>
      </c>
      <c r="H12" t="n">
        <v>863.61</v>
      </c>
      <c r="I12" t="n">
        <v>6197.93</v>
      </c>
      <c r="J12" t="n">
        <v>9.42</v>
      </c>
      <c r="K12" t="inlineStr">
        <is>
          <t>https://www.shzfgjj.cn/html/newxxgk/ndbg/228312.html</t>
        </is>
      </c>
      <c r="L12" t="inlineStr">
        <is>
          <t>official indexed text transcription</t>
        </is>
      </c>
      <c r="M12">
        <f>I12/F12*100</f>
        <v/>
      </c>
      <c r="N12">
        <f>F12-F11-D12+E12</f>
        <v/>
      </c>
      <c r="O12">
        <f>I12-I11-G12+H12</f>
        <v/>
      </c>
    </row>
  </sheetData>
  <autoFilter ref="A1:L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9" customWidth="1" min="5" max="5"/>
    <col width="34" customWidth="1" min="6" max="6"/>
    <col width="35" customWidth="1" min="7" max="7"/>
    <col width="13" customWidth="1" min="8" max="8"/>
    <col width="16" customWidth="1" min="9" max="9"/>
    <col width="13" customWidth="1" min="10" max="10"/>
  </cols>
  <sheetData>
    <row r="1">
      <c r="A1" s="1" t="inlineStr">
        <is>
          <t>year</t>
        </is>
      </c>
      <c r="B1" s="1" t="inlineStr">
        <is>
          <t>month</t>
        </is>
      </c>
      <c r="C1" s="1" t="inlineStr">
        <is>
          <t>district</t>
        </is>
      </c>
      <c r="D1" s="1" t="inlineStr">
        <is>
          <t>units_10k</t>
        </is>
      </c>
      <c r="E1" s="1" t="inlineStr">
        <is>
          <t>contributors_10k</t>
        </is>
      </c>
      <c r="F1" s="1" t="inlineStr">
        <is>
          <t>year_to_date_collection_10k_cny</t>
        </is>
      </c>
      <c r="G1" s="1" t="inlineStr">
        <is>
          <t>year_to_date_withdrawals_10k_cny</t>
        </is>
      </c>
      <c r="H1" s="1" t="inlineStr">
        <is>
          <t>as_of</t>
        </is>
      </c>
      <c r="I1" s="1" t="inlineStr">
        <is>
          <t>source_status</t>
        </is>
      </c>
      <c r="J1" s="1" t="inlineStr">
        <is>
          <t>source_url</t>
        </is>
      </c>
    </row>
    <row r="2">
      <c r="A2" t="n">
        <v>2022</v>
      </c>
      <c r="B2" t="n">
        <v>1</v>
      </c>
      <c r="C2" t="inlineStr">
        <is>
          <t>黄浦</t>
        </is>
      </c>
      <c r="D2" t="n">
        <v>3.42</v>
      </c>
      <c r="E2" t="n">
        <v>119.23</v>
      </c>
      <c r="F2" t="n">
        <v>361118.66</v>
      </c>
      <c r="G2" t="n">
        <v>324861.21</v>
      </c>
      <c r="H2" t="inlineStr">
        <is>
          <t>2022-01-31</t>
        </is>
      </c>
      <c r="I2" t="inlineStr">
        <is>
          <t>verified_original_html</t>
        </is>
      </c>
      <c r="J2" t="inlineStr">
        <is>
          <t>https://www.shzfgjj.cn/html/newxxgk/ywsjtj/208992.html</t>
        </is>
      </c>
    </row>
    <row r="3">
      <c r="A3" t="n">
        <v>2022</v>
      </c>
      <c r="B3" t="n">
        <v>1</v>
      </c>
      <c r="C3" t="inlineStr">
        <is>
          <t>徐汇</t>
        </is>
      </c>
      <c r="D3" t="n">
        <v>4.89</v>
      </c>
      <c r="E3" t="n">
        <v>90.06999999999999</v>
      </c>
      <c r="F3" t="n">
        <v>203935.65</v>
      </c>
      <c r="G3" t="n">
        <v>108713.44</v>
      </c>
      <c r="H3" t="inlineStr">
        <is>
          <t>2022-01-31</t>
        </is>
      </c>
      <c r="I3" t="inlineStr">
        <is>
          <t>verified_original_html</t>
        </is>
      </c>
      <c r="J3" t="inlineStr">
        <is>
          <t>https://www.shzfgjj.cn/html/newxxgk/ywsjtj/208992.html</t>
        </is>
      </c>
    </row>
    <row r="4">
      <c r="A4" t="n">
        <v>2022</v>
      </c>
      <c r="B4" t="n">
        <v>1</v>
      </c>
      <c r="C4" t="inlineStr">
        <is>
          <t>长宁</t>
        </is>
      </c>
      <c r="D4" t="n">
        <v>2.47</v>
      </c>
      <c r="E4" t="n">
        <v>58.27</v>
      </c>
      <c r="F4" t="n">
        <v>129045.2</v>
      </c>
      <c r="G4" t="n">
        <v>68323.8</v>
      </c>
      <c r="H4" t="inlineStr">
        <is>
          <t>2022-01-31</t>
        </is>
      </c>
      <c r="I4" t="inlineStr">
        <is>
          <t>verified_original_html</t>
        </is>
      </c>
      <c r="J4" t="inlineStr">
        <is>
          <t>https://www.shzfgjj.cn/html/newxxgk/ywsjtj/208992.html</t>
        </is>
      </c>
    </row>
    <row r="5">
      <c r="A5" t="n">
        <v>2022</v>
      </c>
      <c r="B5" t="n">
        <v>1</v>
      </c>
      <c r="C5" t="inlineStr">
        <is>
          <t>静安</t>
        </is>
      </c>
      <c r="D5" t="n">
        <v>3.6</v>
      </c>
      <c r="E5" t="n">
        <v>67.48999999999999</v>
      </c>
      <c r="F5" t="n">
        <v>126032.39</v>
      </c>
      <c r="G5" t="n">
        <v>68212.08</v>
      </c>
      <c r="H5" t="inlineStr">
        <is>
          <t>2022-01-31</t>
        </is>
      </c>
      <c r="I5" t="inlineStr">
        <is>
          <t>verified_original_html</t>
        </is>
      </c>
      <c r="J5" t="inlineStr">
        <is>
          <t>https://www.shzfgjj.cn/html/newxxgk/ywsjtj/208992.html</t>
        </is>
      </c>
    </row>
    <row r="6">
      <c r="A6" t="n">
        <v>2022</v>
      </c>
      <c r="B6" t="n">
        <v>1</v>
      </c>
      <c r="C6" t="inlineStr">
        <is>
          <t>普陀</t>
        </is>
      </c>
      <c r="D6" t="n">
        <v>3.42</v>
      </c>
      <c r="E6" t="n">
        <v>36.78</v>
      </c>
      <c r="F6" t="n">
        <v>54880.26</v>
      </c>
      <c r="G6" t="n">
        <v>28605.07</v>
      </c>
      <c r="H6" t="inlineStr">
        <is>
          <t>2022-01-31</t>
        </is>
      </c>
      <c r="I6" t="inlineStr">
        <is>
          <t>verified_original_html</t>
        </is>
      </c>
      <c r="J6" t="inlineStr">
        <is>
          <t>https://www.shzfgjj.cn/html/newxxgk/ywsjtj/208992.html</t>
        </is>
      </c>
    </row>
    <row r="7">
      <c r="A7" t="n">
        <v>2022</v>
      </c>
      <c r="B7" t="n">
        <v>1</v>
      </c>
      <c r="C7" t="inlineStr">
        <is>
          <t>虹口</t>
        </is>
      </c>
      <c r="D7" t="n">
        <v>2.25</v>
      </c>
      <c r="E7" t="n">
        <v>30.33</v>
      </c>
      <c r="F7" t="n">
        <v>54564.93</v>
      </c>
      <c r="G7" t="n">
        <v>30180.21</v>
      </c>
      <c r="H7" t="inlineStr">
        <is>
          <t>2022-01-31</t>
        </is>
      </c>
      <c r="I7" t="inlineStr">
        <is>
          <t>verified_original_html</t>
        </is>
      </c>
      <c r="J7" t="inlineStr">
        <is>
          <t>https://www.shzfgjj.cn/html/newxxgk/ywsjtj/208992.html</t>
        </is>
      </c>
    </row>
    <row r="8">
      <c r="A8" t="n">
        <v>2022</v>
      </c>
      <c r="B8" t="n">
        <v>1</v>
      </c>
      <c r="C8" t="inlineStr">
        <is>
          <t>杨浦</t>
        </is>
      </c>
      <c r="D8" t="n">
        <v>2.36</v>
      </c>
      <c r="E8" t="n">
        <v>35.28</v>
      </c>
      <c r="F8" t="n">
        <v>71313.12</v>
      </c>
      <c r="G8" t="n">
        <v>38064.41</v>
      </c>
      <c r="H8" t="inlineStr">
        <is>
          <t>2022-01-31</t>
        </is>
      </c>
      <c r="I8" t="inlineStr">
        <is>
          <t>verified_original_html</t>
        </is>
      </c>
      <c r="J8" t="inlineStr">
        <is>
          <t>https://www.shzfgjj.cn/html/newxxgk/ywsjtj/208992.html</t>
        </is>
      </c>
    </row>
    <row r="9">
      <c r="A9" t="n">
        <v>2022</v>
      </c>
      <c r="B9" t="n">
        <v>1</v>
      </c>
      <c r="C9" t="inlineStr">
        <is>
          <t>闵行</t>
        </is>
      </c>
      <c r="D9" t="n">
        <v>5.06</v>
      </c>
      <c r="E9" t="n">
        <v>56.87</v>
      </c>
      <c r="F9" t="n">
        <v>87064.74000000001</v>
      </c>
      <c r="G9" t="n">
        <v>45398.94</v>
      </c>
      <c r="H9" t="inlineStr">
        <is>
          <t>2022-01-31</t>
        </is>
      </c>
      <c r="I9" t="inlineStr">
        <is>
          <t>verified_original_html</t>
        </is>
      </c>
      <c r="J9" t="inlineStr">
        <is>
          <t>https://www.shzfgjj.cn/html/newxxgk/ywsjtj/208992.html</t>
        </is>
      </c>
    </row>
    <row r="10">
      <c r="A10" t="n">
        <v>2022</v>
      </c>
      <c r="B10" t="n">
        <v>1</v>
      </c>
      <c r="C10" t="inlineStr">
        <is>
          <t>宝山</t>
        </is>
      </c>
      <c r="D10" t="n">
        <v>3.39</v>
      </c>
      <c r="E10" t="n">
        <v>41.13</v>
      </c>
      <c r="F10" t="n">
        <v>66373.95</v>
      </c>
      <c r="G10" t="n">
        <v>36459.51</v>
      </c>
      <c r="H10" t="inlineStr">
        <is>
          <t>2022-01-31</t>
        </is>
      </c>
      <c r="I10" t="inlineStr">
        <is>
          <t>verified_original_html</t>
        </is>
      </c>
      <c r="J10" t="inlineStr">
        <is>
          <t>https://www.shzfgjj.cn/html/newxxgk/ywsjtj/208992.html</t>
        </is>
      </c>
    </row>
    <row r="11">
      <c r="A11" t="n">
        <v>2022</v>
      </c>
      <c r="B11" t="n">
        <v>1</v>
      </c>
      <c r="C11" t="inlineStr">
        <is>
          <t>嘉定</t>
        </is>
      </c>
      <c r="D11" t="n">
        <v>2.86</v>
      </c>
      <c r="E11" t="n">
        <v>37.83</v>
      </c>
      <c r="F11" t="n">
        <v>57797.98</v>
      </c>
      <c r="G11" t="n">
        <v>31738.15</v>
      </c>
      <c r="H11" t="inlineStr">
        <is>
          <t>2022-01-31</t>
        </is>
      </c>
      <c r="I11" t="inlineStr">
        <is>
          <t>verified_original_html</t>
        </is>
      </c>
      <c r="J11" t="inlineStr">
        <is>
          <t>https://www.shzfgjj.cn/html/newxxgk/ywsjtj/208992.html</t>
        </is>
      </c>
    </row>
    <row r="12">
      <c r="A12" t="n">
        <v>2022</v>
      </c>
      <c r="B12" t="n">
        <v>1</v>
      </c>
      <c r="C12" t="inlineStr">
        <is>
          <t>浦东</t>
        </is>
      </c>
      <c r="D12" t="n">
        <v>9.18</v>
      </c>
      <c r="E12" t="n">
        <v>161.04</v>
      </c>
      <c r="F12" t="n">
        <v>320066.14</v>
      </c>
      <c r="G12" t="n">
        <v>169803.96</v>
      </c>
      <c r="H12" t="inlineStr">
        <is>
          <t>2022-01-31</t>
        </is>
      </c>
      <c r="I12" t="inlineStr">
        <is>
          <t>verified_original_html</t>
        </is>
      </c>
      <c r="J12" t="inlineStr">
        <is>
          <t>https://www.shzfgjj.cn/html/newxxgk/ywsjtj/208992.html</t>
        </is>
      </c>
    </row>
    <row r="13">
      <c r="A13" t="n">
        <v>2022</v>
      </c>
      <c r="B13" t="n">
        <v>1</v>
      </c>
      <c r="C13" t="inlineStr">
        <is>
          <t>奉贤</t>
        </is>
      </c>
      <c r="D13" t="n">
        <v>1.82</v>
      </c>
      <c r="E13" t="n">
        <v>20.78</v>
      </c>
      <c r="F13" t="n">
        <v>27931.41</v>
      </c>
      <c r="G13" t="n">
        <v>13015.95</v>
      </c>
      <c r="H13" t="inlineStr">
        <is>
          <t>2022-01-31</t>
        </is>
      </c>
      <c r="I13" t="inlineStr">
        <is>
          <t>verified_original_html</t>
        </is>
      </c>
      <c r="J13" t="inlineStr">
        <is>
          <t>https://www.shzfgjj.cn/html/newxxgk/ywsjtj/208992.html</t>
        </is>
      </c>
    </row>
    <row r="14">
      <c r="A14" t="n">
        <v>2022</v>
      </c>
      <c r="B14" t="n">
        <v>1</v>
      </c>
      <c r="C14" t="inlineStr">
        <is>
          <t>松江</t>
        </is>
      </c>
      <c r="D14" t="n">
        <v>3.14</v>
      </c>
      <c r="E14" t="n">
        <v>39.18</v>
      </c>
      <c r="F14" t="n">
        <v>47283.57</v>
      </c>
      <c r="G14" t="n">
        <v>24649.83</v>
      </c>
      <c r="H14" t="inlineStr">
        <is>
          <t>2022-01-31</t>
        </is>
      </c>
      <c r="I14" t="inlineStr">
        <is>
          <t>verified_original_html</t>
        </is>
      </c>
      <c r="J14" t="inlineStr">
        <is>
          <t>https://www.shzfgjj.cn/html/newxxgk/ywsjtj/208992.html</t>
        </is>
      </c>
    </row>
    <row r="15">
      <c r="A15" t="n">
        <v>2022</v>
      </c>
      <c r="B15" t="n">
        <v>1</v>
      </c>
      <c r="C15" t="inlineStr">
        <is>
          <t>金山</t>
        </is>
      </c>
      <c r="D15" t="n">
        <v>1.38</v>
      </c>
      <c r="E15" t="n">
        <v>19.67</v>
      </c>
      <c r="F15" t="n">
        <v>28324.92</v>
      </c>
      <c r="G15" t="n">
        <v>13618.15</v>
      </c>
      <c r="H15" t="inlineStr">
        <is>
          <t>2022-01-31</t>
        </is>
      </c>
      <c r="I15" t="inlineStr">
        <is>
          <t>verified_original_html</t>
        </is>
      </c>
      <c r="J15" t="inlineStr">
        <is>
          <t>https://www.shzfgjj.cn/html/newxxgk/ywsjtj/208992.html</t>
        </is>
      </c>
    </row>
    <row r="16">
      <c r="A16" t="n">
        <v>2022</v>
      </c>
      <c r="B16" t="n">
        <v>1</v>
      </c>
      <c r="C16" t="inlineStr">
        <is>
          <t>青浦</t>
        </is>
      </c>
      <c r="D16" t="n">
        <v>1.7</v>
      </c>
      <c r="E16" t="n">
        <v>26.45</v>
      </c>
      <c r="F16" t="n">
        <v>33349.34</v>
      </c>
      <c r="G16" t="n">
        <v>17367.96</v>
      </c>
      <c r="H16" t="inlineStr">
        <is>
          <t>2022-01-31</t>
        </is>
      </c>
      <c r="I16" t="inlineStr">
        <is>
          <t>verified_original_html</t>
        </is>
      </c>
      <c r="J16" t="inlineStr">
        <is>
          <t>https://www.shzfgjj.cn/html/newxxgk/ywsjtj/208992.html</t>
        </is>
      </c>
    </row>
    <row r="17">
      <c r="A17" t="n">
        <v>2022</v>
      </c>
      <c r="B17" t="n">
        <v>1</v>
      </c>
      <c r="C17" t="inlineStr">
        <is>
          <t>崇明</t>
        </is>
      </c>
      <c r="D17" t="n">
        <v>0.35</v>
      </c>
      <c r="E17" t="n">
        <v>7.08</v>
      </c>
      <c r="F17" t="n">
        <v>11604.83</v>
      </c>
      <c r="G17" t="n">
        <v>6355.43</v>
      </c>
      <c r="H17" t="inlineStr">
        <is>
          <t>2022-01-31</t>
        </is>
      </c>
      <c r="I17" t="inlineStr">
        <is>
          <t>verified_original_html</t>
        </is>
      </c>
      <c r="J17" t="inlineStr">
        <is>
          <t>https://www.shzfgjj.cn/html/newxxgk/ywsjtj/208992.html</t>
        </is>
      </c>
    </row>
    <row r="18">
      <c r="A18" t="n">
        <v>2022</v>
      </c>
      <c r="B18" t="n">
        <v>2</v>
      </c>
      <c r="C18" t="inlineStr">
        <is>
          <t>黄浦</t>
        </is>
      </c>
      <c r="D18" t="n">
        <v>3.43</v>
      </c>
      <c r="E18" t="n">
        <v>119.09</v>
      </c>
      <c r="F18" t="n">
        <v>713090.01</v>
      </c>
      <c r="G18" t="n">
        <v>616159.21</v>
      </c>
      <c r="H18" t="inlineStr">
        <is>
          <t>2022-02-28</t>
        </is>
      </c>
      <c r="I18" t="inlineStr">
        <is>
          <t>verified_original_html</t>
        </is>
      </c>
      <c r="J18" t="inlineStr">
        <is>
          <t>https://www.shzfgjj.cn/html/newxxgk/ywsjtj/208996.html</t>
        </is>
      </c>
    </row>
    <row r="19">
      <c r="A19" t="n">
        <v>2022</v>
      </c>
      <c r="B19" t="n">
        <v>2</v>
      </c>
      <c r="C19" t="inlineStr">
        <is>
          <t>徐汇</t>
        </is>
      </c>
      <c r="D19" t="n">
        <v>4.91</v>
      </c>
      <c r="E19" t="n">
        <v>90.01000000000001</v>
      </c>
      <c r="F19" t="n">
        <v>400083.27</v>
      </c>
      <c r="G19" t="n">
        <v>211762.71</v>
      </c>
      <c r="H19" t="inlineStr">
        <is>
          <t>2022-02-28</t>
        </is>
      </c>
      <c r="I19" t="inlineStr">
        <is>
          <t>verified_original_html</t>
        </is>
      </c>
      <c r="J19" t="inlineStr">
        <is>
          <t>https://www.shzfgjj.cn/html/newxxgk/ywsjtj/208996.html</t>
        </is>
      </c>
    </row>
    <row r="20">
      <c r="A20" t="n">
        <v>2022</v>
      </c>
      <c r="B20" t="n">
        <v>2</v>
      </c>
      <c r="C20" t="inlineStr">
        <is>
          <t>长宁</t>
        </is>
      </c>
      <c r="D20" t="n">
        <v>2.48</v>
      </c>
      <c r="E20" t="n">
        <v>58.17</v>
      </c>
      <c r="F20" t="n">
        <v>248178.19</v>
      </c>
      <c r="G20" t="n">
        <v>132656.78</v>
      </c>
      <c r="H20" t="inlineStr">
        <is>
          <t>2022-02-28</t>
        </is>
      </c>
      <c r="I20" t="inlineStr">
        <is>
          <t>verified_original_html</t>
        </is>
      </c>
      <c r="J20" t="inlineStr">
        <is>
          <t>https://www.shzfgjj.cn/html/newxxgk/ywsjtj/208996.html</t>
        </is>
      </c>
    </row>
    <row r="21">
      <c r="A21" t="n">
        <v>2022</v>
      </c>
      <c r="B21" t="n">
        <v>2</v>
      </c>
      <c r="C21" t="inlineStr">
        <is>
          <t>静安</t>
        </is>
      </c>
      <c r="D21" t="n">
        <v>3.61</v>
      </c>
      <c r="E21" t="n">
        <v>67.12</v>
      </c>
      <c r="F21" t="n">
        <v>250996.59</v>
      </c>
      <c r="G21" t="n">
        <v>134801.44</v>
      </c>
      <c r="H21" t="inlineStr">
        <is>
          <t>2022-02-28</t>
        </is>
      </c>
      <c r="I21" t="inlineStr">
        <is>
          <t>verified_original_html</t>
        </is>
      </c>
      <c r="J21" t="inlineStr">
        <is>
          <t>https://www.shzfgjj.cn/html/newxxgk/ywsjtj/208996.html</t>
        </is>
      </c>
    </row>
    <row r="22">
      <c r="A22" t="n">
        <v>2022</v>
      </c>
      <c r="B22" t="n">
        <v>2</v>
      </c>
      <c r="C22" t="inlineStr">
        <is>
          <t>普陀</t>
        </is>
      </c>
      <c r="D22" t="n">
        <v>3.43</v>
      </c>
      <c r="E22" t="n">
        <v>36.62</v>
      </c>
      <c r="F22" t="n">
        <v>105877.57</v>
      </c>
      <c r="G22" t="n">
        <v>55777.33</v>
      </c>
      <c r="H22" t="inlineStr">
        <is>
          <t>2022-02-28</t>
        </is>
      </c>
      <c r="I22" t="inlineStr">
        <is>
          <t>verified_original_html</t>
        </is>
      </c>
      <c r="J22" t="inlineStr">
        <is>
          <t>https://www.shzfgjj.cn/html/newxxgk/ywsjtj/208996.html</t>
        </is>
      </c>
    </row>
    <row r="23">
      <c r="A23" t="n">
        <v>2022</v>
      </c>
      <c r="B23" t="n">
        <v>2</v>
      </c>
      <c r="C23" t="inlineStr">
        <is>
          <t>虹口</t>
        </is>
      </c>
      <c r="D23" t="n">
        <v>2.26</v>
      </c>
      <c r="E23" t="n">
        <v>30.24</v>
      </c>
      <c r="F23" t="n">
        <v>106817.42</v>
      </c>
      <c r="G23" t="n">
        <v>58899.81</v>
      </c>
      <c r="H23" t="inlineStr">
        <is>
          <t>2022-02-28</t>
        </is>
      </c>
      <c r="I23" t="inlineStr">
        <is>
          <t>verified_original_html</t>
        </is>
      </c>
      <c r="J23" t="inlineStr">
        <is>
          <t>https://www.shzfgjj.cn/html/newxxgk/ywsjtj/208996.html</t>
        </is>
      </c>
    </row>
    <row r="24">
      <c r="A24" t="n">
        <v>2022</v>
      </c>
      <c r="B24" t="n">
        <v>2</v>
      </c>
      <c r="C24" t="inlineStr">
        <is>
          <t>杨浦</t>
        </is>
      </c>
      <c r="D24" t="n">
        <v>2.37</v>
      </c>
      <c r="E24" t="n">
        <v>35.2</v>
      </c>
      <c r="F24" t="n">
        <v>139398.44</v>
      </c>
      <c r="G24" t="n">
        <v>73555.88</v>
      </c>
      <c r="H24" t="inlineStr">
        <is>
          <t>2022-02-28</t>
        </is>
      </c>
      <c r="I24" t="inlineStr">
        <is>
          <t>verified_original_html</t>
        </is>
      </c>
      <c r="J24" t="inlineStr">
        <is>
          <t>https://www.shzfgjj.cn/html/newxxgk/ywsjtj/208996.html</t>
        </is>
      </c>
    </row>
    <row r="25">
      <c r="A25" t="n">
        <v>2022</v>
      </c>
      <c r="B25" t="n">
        <v>2</v>
      </c>
      <c r="C25" t="inlineStr">
        <is>
          <t>闵行</t>
        </is>
      </c>
      <c r="D25" t="n">
        <v>5.12</v>
      </c>
      <c r="E25" t="n">
        <v>56.95</v>
      </c>
      <c r="F25" t="n">
        <v>171049.08</v>
      </c>
      <c r="G25" t="n">
        <v>88944.98</v>
      </c>
      <c r="H25" t="inlineStr">
        <is>
          <t>2022-02-28</t>
        </is>
      </c>
      <c r="I25" t="inlineStr">
        <is>
          <t>verified_original_html</t>
        </is>
      </c>
      <c r="J25" t="inlineStr">
        <is>
          <t>https://www.shzfgjj.cn/html/newxxgk/ywsjtj/208996.html</t>
        </is>
      </c>
    </row>
    <row r="26">
      <c r="A26" t="n">
        <v>2022</v>
      </c>
      <c r="B26" t="n">
        <v>2</v>
      </c>
      <c r="C26" t="inlineStr">
        <is>
          <t>宝山</t>
        </is>
      </c>
      <c r="D26" t="n">
        <v>3.41</v>
      </c>
      <c r="E26" t="n">
        <v>41.01</v>
      </c>
      <c r="F26" t="n">
        <v>130632.82</v>
      </c>
      <c r="G26" t="n">
        <v>71761.49000000001</v>
      </c>
      <c r="H26" t="inlineStr">
        <is>
          <t>2022-02-28</t>
        </is>
      </c>
      <c r="I26" t="inlineStr">
        <is>
          <t>verified_original_html</t>
        </is>
      </c>
      <c r="J26" t="inlineStr">
        <is>
          <t>https://www.shzfgjj.cn/html/newxxgk/ywsjtj/208996.html</t>
        </is>
      </c>
    </row>
    <row r="27">
      <c r="A27" t="n">
        <v>2022</v>
      </c>
      <c r="B27" t="n">
        <v>2</v>
      </c>
      <c r="C27" t="inlineStr">
        <is>
          <t>嘉定</t>
        </is>
      </c>
      <c r="D27" t="n">
        <v>2.88</v>
      </c>
      <c r="E27" t="n">
        <v>37.86</v>
      </c>
      <c r="F27" t="n">
        <v>114969.41</v>
      </c>
      <c r="G27" t="n">
        <v>62006.53</v>
      </c>
      <c r="H27" t="inlineStr">
        <is>
          <t>2022-02-28</t>
        </is>
      </c>
      <c r="I27" t="inlineStr">
        <is>
          <t>verified_original_html</t>
        </is>
      </c>
      <c r="J27" t="inlineStr">
        <is>
          <t>https://www.shzfgjj.cn/html/newxxgk/ywsjtj/208996.html</t>
        </is>
      </c>
    </row>
    <row r="28">
      <c r="A28" t="n">
        <v>2022</v>
      </c>
      <c r="B28" t="n">
        <v>2</v>
      </c>
      <c r="C28" t="inlineStr">
        <is>
          <t>浦东</t>
        </is>
      </c>
      <c r="D28" t="n">
        <v>9.220000000000001</v>
      </c>
      <c r="E28" t="n">
        <v>160.8</v>
      </c>
      <c r="F28" t="n">
        <v>627410.83</v>
      </c>
      <c r="G28" t="n">
        <v>327321.62</v>
      </c>
      <c r="H28" t="inlineStr">
        <is>
          <t>2022-02-28</t>
        </is>
      </c>
      <c r="I28" t="inlineStr">
        <is>
          <t>verified_original_html</t>
        </is>
      </c>
      <c r="J28" t="inlineStr">
        <is>
          <t>https://www.shzfgjj.cn/html/newxxgk/ywsjtj/208996.html</t>
        </is>
      </c>
    </row>
    <row r="29">
      <c r="A29" t="n">
        <v>2022</v>
      </c>
      <c r="B29" t="n">
        <v>2</v>
      </c>
      <c r="C29" t="inlineStr">
        <is>
          <t>奉贤</t>
        </is>
      </c>
      <c r="D29" t="n">
        <v>1.84</v>
      </c>
      <c r="E29" t="n">
        <v>20.83</v>
      </c>
      <c r="F29" t="n">
        <v>55137.11</v>
      </c>
      <c r="G29" t="n">
        <v>25504.37</v>
      </c>
      <c r="H29" t="inlineStr">
        <is>
          <t>2022-02-28</t>
        </is>
      </c>
      <c r="I29" t="inlineStr">
        <is>
          <t>verified_original_html</t>
        </is>
      </c>
      <c r="J29" t="inlineStr">
        <is>
          <t>https://www.shzfgjj.cn/html/newxxgk/ywsjtj/208996.html</t>
        </is>
      </c>
    </row>
    <row r="30">
      <c r="A30" t="n">
        <v>2022</v>
      </c>
      <c r="B30" t="n">
        <v>2</v>
      </c>
      <c r="C30" t="inlineStr">
        <is>
          <t>松江</t>
        </is>
      </c>
      <c r="D30" t="n">
        <v>3.16</v>
      </c>
      <c r="E30" t="n">
        <v>39.05</v>
      </c>
      <c r="F30" t="n">
        <v>93787.47</v>
      </c>
      <c r="G30" t="n">
        <v>47495.11</v>
      </c>
      <c r="H30" t="inlineStr">
        <is>
          <t>2022-02-28</t>
        </is>
      </c>
      <c r="I30" t="inlineStr">
        <is>
          <t>verified_original_html</t>
        </is>
      </c>
      <c r="J30" t="inlineStr">
        <is>
          <t>https://www.shzfgjj.cn/html/newxxgk/ywsjtj/208996.html</t>
        </is>
      </c>
    </row>
    <row r="31">
      <c r="A31" t="n">
        <v>2022</v>
      </c>
      <c r="B31" t="n">
        <v>2</v>
      </c>
      <c r="C31" t="inlineStr">
        <is>
          <t>金山</t>
        </is>
      </c>
      <c r="D31" t="n">
        <v>1.38</v>
      </c>
      <c r="E31" t="n">
        <v>19.63</v>
      </c>
      <c r="F31" t="n">
        <v>55694.73</v>
      </c>
      <c r="G31" t="n">
        <v>27957.58</v>
      </c>
      <c r="H31" t="inlineStr">
        <is>
          <t>2022-02-28</t>
        </is>
      </c>
      <c r="I31" t="inlineStr">
        <is>
          <t>verified_original_html</t>
        </is>
      </c>
      <c r="J31" t="inlineStr">
        <is>
          <t>https://www.shzfgjj.cn/html/newxxgk/ywsjtj/208996.html</t>
        </is>
      </c>
    </row>
    <row r="32">
      <c r="A32" t="n">
        <v>2022</v>
      </c>
      <c r="B32" t="n">
        <v>2</v>
      </c>
      <c r="C32" t="inlineStr">
        <is>
          <t>青浦</t>
        </is>
      </c>
      <c r="D32" t="n">
        <v>1.71</v>
      </c>
      <c r="E32" t="n">
        <v>26.24</v>
      </c>
      <c r="F32" t="n">
        <v>66234.14</v>
      </c>
      <c r="G32" t="n">
        <v>33492.09</v>
      </c>
      <c r="H32" t="inlineStr">
        <is>
          <t>2022-02-28</t>
        </is>
      </c>
      <c r="I32" t="inlineStr">
        <is>
          <t>verified_original_html</t>
        </is>
      </c>
      <c r="J32" t="inlineStr">
        <is>
          <t>https://www.shzfgjj.cn/html/newxxgk/ywsjtj/208996.html</t>
        </is>
      </c>
    </row>
    <row r="33">
      <c r="A33" t="n">
        <v>2022</v>
      </c>
      <c r="B33" t="n">
        <v>2</v>
      </c>
      <c r="C33" t="inlineStr">
        <is>
          <t>崇明</t>
        </is>
      </c>
      <c r="D33" t="n">
        <v>0.35</v>
      </c>
      <c r="E33" t="n">
        <v>7.06</v>
      </c>
      <c r="F33" t="n">
        <v>22704.05</v>
      </c>
      <c r="G33" t="n">
        <v>12656.54</v>
      </c>
      <c r="H33" t="inlineStr">
        <is>
          <t>2022-02-28</t>
        </is>
      </c>
      <c r="I33" t="inlineStr">
        <is>
          <t>verified_original_html</t>
        </is>
      </c>
      <c r="J33" t="inlineStr">
        <is>
          <t>https://www.shzfgjj.cn/html/newxxgk/ywsjtj/208996.html</t>
        </is>
      </c>
    </row>
    <row r="34">
      <c r="A34" t="n">
        <v>2022</v>
      </c>
      <c r="B34" t="n">
        <v>3</v>
      </c>
      <c r="C34" t="inlineStr">
        <is>
          <t>黄浦</t>
        </is>
      </c>
      <c r="D34" t="n">
        <v>3.43</v>
      </c>
      <c r="E34" t="n">
        <v>120.25</v>
      </c>
      <c r="F34" t="n">
        <v>1085678.4</v>
      </c>
      <c r="G34" t="n">
        <v>917845.39</v>
      </c>
      <c r="H34" t="inlineStr">
        <is>
          <t>2022-03-31</t>
        </is>
      </c>
      <c r="I34" t="inlineStr">
        <is>
          <t>verified_original_html</t>
        </is>
      </c>
      <c r="J34" t="inlineStr">
        <is>
          <t>https://www.shzfgjj.cn/html/newxxgk/ywsjtj/209348.html</t>
        </is>
      </c>
    </row>
    <row r="35">
      <c r="A35" t="n">
        <v>2022</v>
      </c>
      <c r="B35" t="n">
        <v>3</v>
      </c>
      <c r="C35" t="inlineStr">
        <is>
          <t>徐汇</t>
        </is>
      </c>
      <c r="D35" t="n">
        <v>4.93</v>
      </c>
      <c r="E35" t="n">
        <v>89.55</v>
      </c>
      <c r="F35" t="n">
        <v>609124.48</v>
      </c>
      <c r="G35" t="n">
        <v>318949.28</v>
      </c>
      <c r="H35" t="inlineStr">
        <is>
          <t>2022-03-31</t>
        </is>
      </c>
      <c r="I35" t="inlineStr">
        <is>
          <t>verified_original_html</t>
        </is>
      </c>
      <c r="J35" t="inlineStr">
        <is>
          <t>https://www.shzfgjj.cn/html/newxxgk/ywsjtj/209348.html</t>
        </is>
      </c>
    </row>
    <row r="36">
      <c r="A36" t="n">
        <v>2022</v>
      </c>
      <c r="B36" t="n">
        <v>3</v>
      </c>
      <c r="C36" t="inlineStr">
        <is>
          <t>长宁</t>
        </is>
      </c>
      <c r="D36" t="n">
        <v>2.48</v>
      </c>
      <c r="E36" t="n">
        <v>58.2</v>
      </c>
      <c r="F36" t="n">
        <v>377702.69</v>
      </c>
      <c r="G36" t="n">
        <v>200990.45</v>
      </c>
      <c r="H36" t="inlineStr">
        <is>
          <t>2022-03-31</t>
        </is>
      </c>
      <c r="I36" t="inlineStr">
        <is>
          <t>verified_original_html</t>
        </is>
      </c>
      <c r="J36" t="inlineStr">
        <is>
          <t>https://www.shzfgjj.cn/html/newxxgk/ywsjtj/209348.html</t>
        </is>
      </c>
    </row>
    <row r="37">
      <c r="A37" t="n">
        <v>2022</v>
      </c>
      <c r="B37" t="n">
        <v>3</v>
      </c>
      <c r="C37" t="inlineStr">
        <is>
          <t>静安</t>
        </is>
      </c>
      <c r="D37" t="n">
        <v>3.62</v>
      </c>
      <c r="E37" t="n">
        <v>66.93000000000001</v>
      </c>
      <c r="F37" t="n">
        <v>385413.48</v>
      </c>
      <c r="G37" t="n">
        <v>201466.47</v>
      </c>
      <c r="H37" t="inlineStr">
        <is>
          <t>2022-03-31</t>
        </is>
      </c>
      <c r="I37" t="inlineStr">
        <is>
          <t>verified_original_html</t>
        </is>
      </c>
      <c r="J37" t="inlineStr">
        <is>
          <t>https://www.shzfgjj.cn/html/newxxgk/ywsjtj/209348.html</t>
        </is>
      </c>
    </row>
    <row r="38">
      <c r="A38" t="n">
        <v>2022</v>
      </c>
      <c r="B38" t="n">
        <v>3</v>
      </c>
      <c r="C38" t="inlineStr">
        <is>
          <t>普陀</t>
        </is>
      </c>
      <c r="D38" t="n">
        <v>3.44</v>
      </c>
      <c r="E38" t="n">
        <v>36.5</v>
      </c>
      <c r="F38" t="n">
        <v>163442</v>
      </c>
      <c r="G38" t="n">
        <v>83405.31</v>
      </c>
      <c r="H38" t="inlineStr">
        <is>
          <t>2022-03-31</t>
        </is>
      </c>
      <c r="I38" t="inlineStr">
        <is>
          <t>verified_original_html</t>
        </is>
      </c>
      <c r="J38" t="inlineStr">
        <is>
          <t>https://www.shzfgjj.cn/html/newxxgk/ywsjtj/209348.html</t>
        </is>
      </c>
    </row>
    <row r="39">
      <c r="A39" t="n">
        <v>2022</v>
      </c>
      <c r="B39" t="n">
        <v>3</v>
      </c>
      <c r="C39" t="inlineStr">
        <is>
          <t>虹口</t>
        </is>
      </c>
      <c r="D39" t="n">
        <v>2.26</v>
      </c>
      <c r="E39" t="n">
        <v>30.15</v>
      </c>
      <c r="F39" t="n">
        <v>160053.74</v>
      </c>
      <c r="G39" t="n">
        <v>87849.59</v>
      </c>
      <c r="H39" t="inlineStr">
        <is>
          <t>2022-03-31</t>
        </is>
      </c>
      <c r="I39" t="inlineStr">
        <is>
          <t>verified_original_html</t>
        </is>
      </c>
      <c r="J39" t="inlineStr">
        <is>
          <t>https://www.shzfgjj.cn/html/newxxgk/ywsjtj/209348.html</t>
        </is>
      </c>
    </row>
    <row r="40">
      <c r="A40" t="n">
        <v>2022</v>
      </c>
      <c r="B40" t="n">
        <v>3</v>
      </c>
      <c r="C40" t="inlineStr">
        <is>
          <t>杨浦</t>
        </is>
      </c>
      <c r="D40" t="n">
        <v>2.38</v>
      </c>
      <c r="E40" t="n">
        <v>35.26</v>
      </c>
      <c r="F40" t="n">
        <v>217893.27</v>
      </c>
      <c r="G40" t="n">
        <v>111365.65</v>
      </c>
      <c r="H40" t="inlineStr">
        <is>
          <t>2022-03-31</t>
        </is>
      </c>
      <c r="I40" t="inlineStr">
        <is>
          <t>verified_original_html</t>
        </is>
      </c>
      <c r="J40" t="inlineStr">
        <is>
          <t>https://www.shzfgjj.cn/html/newxxgk/ywsjtj/209348.html</t>
        </is>
      </c>
    </row>
    <row r="41">
      <c r="A41" t="n">
        <v>2022</v>
      </c>
      <c r="B41" t="n">
        <v>3</v>
      </c>
      <c r="C41" t="inlineStr">
        <is>
          <t>闵行</t>
        </is>
      </c>
      <c r="D41" t="n">
        <v>5.17</v>
      </c>
      <c r="E41" t="n">
        <v>56.85</v>
      </c>
      <c r="F41" t="n">
        <v>252246.16</v>
      </c>
      <c r="G41" t="n">
        <v>132706.89</v>
      </c>
      <c r="H41" t="inlineStr">
        <is>
          <t>2022-03-31</t>
        </is>
      </c>
      <c r="I41" t="inlineStr">
        <is>
          <t>verified_original_html</t>
        </is>
      </c>
      <c r="J41" t="inlineStr">
        <is>
          <t>https://www.shzfgjj.cn/html/newxxgk/ywsjtj/209348.html</t>
        </is>
      </c>
    </row>
    <row r="42">
      <c r="A42" t="n">
        <v>2022</v>
      </c>
      <c r="B42" t="n">
        <v>3</v>
      </c>
      <c r="C42" t="inlineStr">
        <is>
          <t>宝山</t>
        </is>
      </c>
      <c r="D42" t="n">
        <v>3.43</v>
      </c>
      <c r="E42" t="n">
        <v>41.3</v>
      </c>
      <c r="F42" t="n">
        <v>203431.86</v>
      </c>
      <c r="G42" t="n">
        <v>107671.56</v>
      </c>
      <c r="H42" t="inlineStr">
        <is>
          <t>2022-03-31</t>
        </is>
      </c>
      <c r="I42" t="inlineStr">
        <is>
          <t>verified_original_html</t>
        </is>
      </c>
      <c r="J42" t="inlineStr">
        <is>
          <t>https://www.shzfgjj.cn/html/newxxgk/ywsjtj/209348.html</t>
        </is>
      </c>
    </row>
    <row r="43">
      <c r="A43" t="n">
        <v>2022</v>
      </c>
      <c r="B43" t="n">
        <v>3</v>
      </c>
      <c r="C43" t="inlineStr">
        <is>
          <t>嘉定</t>
        </is>
      </c>
      <c r="D43" t="n">
        <v>2.89</v>
      </c>
      <c r="E43" t="n">
        <v>38.1</v>
      </c>
      <c r="F43" t="n">
        <v>175248.33</v>
      </c>
      <c r="G43" t="n">
        <v>93117.89999999999</v>
      </c>
      <c r="H43" t="inlineStr">
        <is>
          <t>2022-03-31</t>
        </is>
      </c>
      <c r="I43" t="inlineStr">
        <is>
          <t>verified_original_html</t>
        </is>
      </c>
      <c r="J43" t="inlineStr">
        <is>
          <t>https://www.shzfgjj.cn/html/newxxgk/ywsjtj/209348.html</t>
        </is>
      </c>
    </row>
    <row r="44">
      <c r="A44" t="n">
        <v>2022</v>
      </c>
      <c r="B44" t="n">
        <v>3</v>
      </c>
      <c r="C44" t="inlineStr">
        <is>
          <t>浦东</t>
        </is>
      </c>
      <c r="D44" t="n">
        <v>9.26</v>
      </c>
      <c r="E44" t="n">
        <v>160.28</v>
      </c>
      <c r="F44" t="n">
        <v>930699.75</v>
      </c>
      <c r="G44" t="n">
        <v>490988.27</v>
      </c>
      <c r="H44" t="inlineStr">
        <is>
          <t>2022-03-31</t>
        </is>
      </c>
      <c r="I44" t="inlineStr">
        <is>
          <t>verified_original_html</t>
        </is>
      </c>
      <c r="J44" t="inlineStr">
        <is>
          <t>https://www.shzfgjj.cn/html/newxxgk/ywsjtj/209348.html</t>
        </is>
      </c>
    </row>
    <row r="45">
      <c r="A45" t="n">
        <v>2022</v>
      </c>
      <c r="B45" t="n">
        <v>3</v>
      </c>
      <c r="C45" t="inlineStr">
        <is>
          <t>奉贤</t>
        </is>
      </c>
      <c r="D45" t="n">
        <v>1.85</v>
      </c>
      <c r="E45" t="n">
        <v>20.94</v>
      </c>
      <c r="F45" t="n">
        <v>83018.62</v>
      </c>
      <c r="G45" t="n">
        <v>39122.59</v>
      </c>
      <c r="H45" t="inlineStr">
        <is>
          <t>2022-03-31</t>
        </is>
      </c>
      <c r="I45" t="inlineStr">
        <is>
          <t>verified_original_html</t>
        </is>
      </c>
      <c r="J45" t="inlineStr">
        <is>
          <t>https://www.shzfgjj.cn/html/newxxgk/ywsjtj/209348.html</t>
        </is>
      </c>
    </row>
    <row r="46">
      <c r="A46" t="n">
        <v>2022</v>
      </c>
      <c r="B46" t="n">
        <v>3</v>
      </c>
      <c r="C46" t="inlineStr">
        <is>
          <t>松江</t>
        </is>
      </c>
      <c r="D46" t="n">
        <v>3.18</v>
      </c>
      <c r="E46" t="n">
        <v>39.23</v>
      </c>
      <c r="F46" t="n">
        <v>141773.95</v>
      </c>
      <c r="G46" t="n">
        <v>72396.7</v>
      </c>
      <c r="H46" t="inlineStr">
        <is>
          <t>2022-03-31</t>
        </is>
      </c>
      <c r="I46" t="inlineStr">
        <is>
          <t>verified_original_html</t>
        </is>
      </c>
      <c r="J46" t="inlineStr">
        <is>
          <t>https://www.shzfgjj.cn/html/newxxgk/ywsjtj/209348.html</t>
        </is>
      </c>
    </row>
    <row r="47">
      <c r="A47" t="n">
        <v>2022</v>
      </c>
      <c r="B47" t="n">
        <v>3</v>
      </c>
      <c r="C47" t="inlineStr">
        <is>
          <t>金山</t>
        </is>
      </c>
      <c r="D47" t="n">
        <v>1.39</v>
      </c>
      <c r="E47" t="n">
        <v>19.66</v>
      </c>
      <c r="F47" t="n">
        <v>83762.41</v>
      </c>
      <c r="G47" t="n">
        <v>41955.31</v>
      </c>
      <c r="H47" t="inlineStr">
        <is>
          <t>2022-03-31</t>
        </is>
      </c>
      <c r="I47" t="inlineStr">
        <is>
          <t>verified_original_html</t>
        </is>
      </c>
      <c r="J47" t="inlineStr">
        <is>
          <t>https://www.shzfgjj.cn/html/newxxgk/ywsjtj/209348.html</t>
        </is>
      </c>
    </row>
    <row r="48">
      <c r="A48" t="n">
        <v>2022</v>
      </c>
      <c r="B48" t="n">
        <v>3</v>
      </c>
      <c r="C48" t="inlineStr">
        <is>
          <t>青浦</t>
        </is>
      </c>
      <c r="D48" t="n">
        <v>1.72</v>
      </c>
      <c r="E48" t="n">
        <v>26.5</v>
      </c>
      <c r="F48" t="n">
        <v>104184.49</v>
      </c>
      <c r="G48" t="n">
        <v>52453.8</v>
      </c>
      <c r="H48" t="inlineStr">
        <is>
          <t>2022-03-31</t>
        </is>
      </c>
      <c r="I48" t="inlineStr">
        <is>
          <t>verified_original_html</t>
        </is>
      </c>
      <c r="J48" t="inlineStr">
        <is>
          <t>https://www.shzfgjj.cn/html/newxxgk/ywsjtj/209348.html</t>
        </is>
      </c>
    </row>
    <row r="49">
      <c r="A49" t="n">
        <v>2022</v>
      </c>
      <c r="B49" t="n">
        <v>3</v>
      </c>
      <c r="C49" t="inlineStr">
        <is>
          <t>崇明</t>
        </is>
      </c>
      <c r="D49" t="n">
        <v>0.35</v>
      </c>
      <c r="E49" t="n">
        <v>7.07</v>
      </c>
      <c r="F49" t="n">
        <v>36129.5</v>
      </c>
      <c r="G49" t="n">
        <v>19396.2</v>
      </c>
      <c r="H49" t="inlineStr">
        <is>
          <t>2022-03-31</t>
        </is>
      </c>
      <c r="I49" t="inlineStr">
        <is>
          <t>verified_original_html</t>
        </is>
      </c>
      <c r="J49" t="inlineStr">
        <is>
          <t>https://www.shzfgjj.cn/html/newxxgk/ywsjtj/209348.html</t>
        </is>
      </c>
    </row>
    <row r="50">
      <c r="A50" t="n">
        <v>2022</v>
      </c>
      <c r="B50" t="n">
        <v>4</v>
      </c>
      <c r="C50" t="inlineStr">
        <is>
          <t>黄浦</t>
        </is>
      </c>
      <c r="D50" t="n">
        <v>3.42</v>
      </c>
      <c r="E50" t="n">
        <v>119.09</v>
      </c>
      <c r="F50" t="n">
        <v>1383425.63</v>
      </c>
      <c r="G50" t="n">
        <v>1312241</v>
      </c>
      <c r="H50" t="inlineStr">
        <is>
          <t>2022-04-30</t>
        </is>
      </c>
      <c r="I50" t="inlineStr">
        <is>
          <t>verified_original_html</t>
        </is>
      </c>
      <c r="J50" t="inlineStr">
        <is>
          <t>https://www.shzfgjj.cn/html/newxxgk/ywsjtj/209350.html</t>
        </is>
      </c>
    </row>
    <row r="51">
      <c r="A51" t="n">
        <v>2022</v>
      </c>
      <c r="B51" t="n">
        <v>4</v>
      </c>
      <c r="C51" t="inlineStr">
        <is>
          <t>徐汇</t>
        </is>
      </c>
      <c r="D51" t="n">
        <v>4.92</v>
      </c>
      <c r="E51" t="n">
        <v>89.53</v>
      </c>
      <c r="F51" t="n">
        <v>779617.76</v>
      </c>
      <c r="G51" t="n">
        <v>481492.08</v>
      </c>
      <c r="H51" t="inlineStr">
        <is>
          <t>2022-04-30</t>
        </is>
      </c>
      <c r="I51" t="inlineStr">
        <is>
          <t>verified_original_html</t>
        </is>
      </c>
      <c r="J51" t="inlineStr">
        <is>
          <t>https://www.shzfgjj.cn/html/newxxgk/ywsjtj/209350.html</t>
        </is>
      </c>
    </row>
    <row r="52">
      <c r="A52" t="n">
        <v>2022</v>
      </c>
      <c r="B52" t="n">
        <v>4</v>
      </c>
      <c r="C52" t="inlineStr">
        <is>
          <t>长宁</t>
        </is>
      </c>
      <c r="D52" t="n">
        <v>2.48</v>
      </c>
      <c r="E52" t="n">
        <v>57.82</v>
      </c>
      <c r="F52" t="n">
        <v>481197.4</v>
      </c>
      <c r="G52" t="n">
        <v>299483.91</v>
      </c>
      <c r="H52" t="inlineStr">
        <is>
          <t>2022-04-30</t>
        </is>
      </c>
      <c r="I52" t="inlineStr">
        <is>
          <t>verified_original_html</t>
        </is>
      </c>
      <c r="J52" t="inlineStr">
        <is>
          <t>https://www.shzfgjj.cn/html/newxxgk/ywsjtj/209350.html</t>
        </is>
      </c>
    </row>
    <row r="53">
      <c r="A53" t="n">
        <v>2022</v>
      </c>
      <c r="B53" t="n">
        <v>4</v>
      </c>
      <c r="C53" t="inlineStr">
        <is>
          <t>静安</t>
        </is>
      </c>
      <c r="D53" t="n">
        <v>3.62</v>
      </c>
      <c r="E53" t="n">
        <v>66.58</v>
      </c>
      <c r="F53" t="n">
        <v>478136.67</v>
      </c>
      <c r="G53" t="n">
        <v>301572.72</v>
      </c>
      <c r="H53" t="inlineStr">
        <is>
          <t>2022-04-30</t>
        </is>
      </c>
      <c r="I53" t="inlineStr">
        <is>
          <t>verified_original_html</t>
        </is>
      </c>
      <c r="J53" t="inlineStr">
        <is>
          <t>https://www.shzfgjj.cn/html/newxxgk/ywsjtj/209350.html</t>
        </is>
      </c>
    </row>
    <row r="54">
      <c r="A54" t="n">
        <v>2022</v>
      </c>
      <c r="B54" t="n">
        <v>4</v>
      </c>
      <c r="C54" t="inlineStr">
        <is>
          <t>普陀</t>
        </is>
      </c>
      <c r="D54" t="n">
        <v>3.43</v>
      </c>
      <c r="E54" t="n">
        <v>36.33</v>
      </c>
      <c r="F54" t="n">
        <v>197480.83</v>
      </c>
      <c r="G54" t="n">
        <v>122899.2</v>
      </c>
      <c r="H54" t="inlineStr">
        <is>
          <t>2022-04-30</t>
        </is>
      </c>
      <c r="I54" t="inlineStr">
        <is>
          <t>verified_original_html</t>
        </is>
      </c>
      <c r="J54" t="inlineStr">
        <is>
          <t>https://www.shzfgjj.cn/html/newxxgk/ywsjtj/209350.html</t>
        </is>
      </c>
    </row>
    <row r="55">
      <c r="A55" t="n">
        <v>2022</v>
      </c>
      <c r="B55" t="n">
        <v>4</v>
      </c>
      <c r="C55" t="inlineStr">
        <is>
          <t>虹口</t>
        </is>
      </c>
      <c r="D55" t="n">
        <v>2.25</v>
      </c>
      <c r="E55" t="n">
        <v>30.11</v>
      </c>
      <c r="F55" t="n">
        <v>194576.74</v>
      </c>
      <c r="G55" t="n">
        <v>131557.3</v>
      </c>
      <c r="H55" t="inlineStr">
        <is>
          <t>2022-04-30</t>
        </is>
      </c>
      <c r="I55" t="inlineStr">
        <is>
          <t>verified_original_html</t>
        </is>
      </c>
      <c r="J55" t="inlineStr">
        <is>
          <t>https://www.shzfgjj.cn/html/newxxgk/ywsjtj/209350.html</t>
        </is>
      </c>
    </row>
    <row r="56">
      <c r="A56" t="n">
        <v>2022</v>
      </c>
      <c r="B56" t="n">
        <v>4</v>
      </c>
      <c r="C56" t="inlineStr">
        <is>
          <t>杨浦</t>
        </is>
      </c>
      <c r="D56" t="n">
        <v>2.38</v>
      </c>
      <c r="E56" t="n">
        <v>35.17</v>
      </c>
      <c r="F56" t="n">
        <v>274246.22</v>
      </c>
      <c r="G56" t="n">
        <v>165876.58</v>
      </c>
      <c r="H56" t="inlineStr">
        <is>
          <t>2022-04-30</t>
        </is>
      </c>
      <c r="I56" t="inlineStr">
        <is>
          <t>verified_original_html</t>
        </is>
      </c>
      <c r="J56" t="inlineStr">
        <is>
          <t>https://www.shzfgjj.cn/html/newxxgk/ywsjtj/209350.html</t>
        </is>
      </c>
    </row>
    <row r="57">
      <c r="A57" t="n">
        <v>2022</v>
      </c>
      <c r="B57" t="n">
        <v>4</v>
      </c>
      <c r="C57" t="inlineStr">
        <is>
          <t>闵行</t>
        </is>
      </c>
      <c r="D57" t="n">
        <v>5.17</v>
      </c>
      <c r="E57" t="n">
        <v>56.78</v>
      </c>
      <c r="F57" t="n">
        <v>322570.52</v>
      </c>
      <c r="G57" t="n">
        <v>197849.46</v>
      </c>
      <c r="H57" t="inlineStr">
        <is>
          <t>2022-04-30</t>
        </is>
      </c>
      <c r="I57" t="inlineStr">
        <is>
          <t>verified_original_html</t>
        </is>
      </c>
      <c r="J57" t="inlineStr">
        <is>
          <t>https://www.shzfgjj.cn/html/newxxgk/ywsjtj/209350.html</t>
        </is>
      </c>
    </row>
    <row r="58">
      <c r="A58" t="n">
        <v>2022</v>
      </c>
      <c r="B58" t="n">
        <v>4</v>
      </c>
      <c r="C58" t="inlineStr">
        <is>
          <t>宝山</t>
        </is>
      </c>
      <c r="D58" t="n">
        <v>3.43</v>
      </c>
      <c r="E58" t="n">
        <v>41.11</v>
      </c>
      <c r="F58" t="n">
        <v>251815.84</v>
      </c>
      <c r="G58" t="n">
        <v>165277.19</v>
      </c>
      <c r="H58" t="inlineStr">
        <is>
          <t>2022-04-30</t>
        </is>
      </c>
      <c r="I58" t="inlineStr">
        <is>
          <t>verified_original_html</t>
        </is>
      </c>
      <c r="J58" t="inlineStr">
        <is>
          <t>https://www.shzfgjj.cn/html/newxxgk/ywsjtj/209350.html</t>
        </is>
      </c>
    </row>
    <row r="59">
      <c r="A59" t="n">
        <v>2022</v>
      </c>
      <c r="B59" t="n">
        <v>4</v>
      </c>
      <c r="C59" t="inlineStr">
        <is>
          <t>嘉定</t>
        </is>
      </c>
      <c r="D59" t="n">
        <v>2.89</v>
      </c>
      <c r="E59" t="n">
        <v>38.16</v>
      </c>
      <c r="F59" t="n">
        <v>217811.19</v>
      </c>
      <c r="G59" t="n">
        <v>147473.26</v>
      </c>
      <c r="H59" t="inlineStr">
        <is>
          <t>2022-04-30</t>
        </is>
      </c>
      <c r="I59" t="inlineStr">
        <is>
          <t>verified_original_html</t>
        </is>
      </c>
      <c r="J59" t="inlineStr">
        <is>
          <t>https://www.shzfgjj.cn/html/newxxgk/ywsjtj/209350.html</t>
        </is>
      </c>
    </row>
    <row r="60">
      <c r="A60" t="n">
        <v>2022</v>
      </c>
      <c r="B60" t="n">
        <v>4</v>
      </c>
      <c r="C60" t="inlineStr">
        <is>
          <t>浦东</t>
        </is>
      </c>
      <c r="D60" t="n">
        <v>9.25</v>
      </c>
      <c r="E60" t="n">
        <v>160.96</v>
      </c>
      <c r="F60" t="n">
        <v>1202958.35</v>
      </c>
      <c r="G60" t="n">
        <v>738146.97</v>
      </c>
      <c r="H60" t="inlineStr">
        <is>
          <t>2022-04-30</t>
        </is>
      </c>
      <c r="I60" t="inlineStr">
        <is>
          <t>verified_original_html</t>
        </is>
      </c>
      <c r="J60" t="inlineStr">
        <is>
          <t>https://www.shzfgjj.cn/html/newxxgk/ywsjtj/209350.html</t>
        </is>
      </c>
    </row>
    <row r="61">
      <c r="A61" t="n">
        <v>2022</v>
      </c>
      <c r="B61" t="n">
        <v>4</v>
      </c>
      <c r="C61" t="inlineStr">
        <is>
          <t>奉贤</t>
        </is>
      </c>
      <c r="D61" t="n">
        <v>1.86</v>
      </c>
      <c r="E61" t="n">
        <v>20.98</v>
      </c>
      <c r="F61" t="n">
        <v>102273.15</v>
      </c>
      <c r="G61" t="n">
        <v>69414.39</v>
      </c>
      <c r="H61" t="inlineStr">
        <is>
          <t>2022-04-30</t>
        </is>
      </c>
      <c r="I61" t="inlineStr">
        <is>
          <t>verified_original_html</t>
        </is>
      </c>
      <c r="J61" t="inlineStr">
        <is>
          <t>https://www.shzfgjj.cn/html/newxxgk/ywsjtj/209350.html</t>
        </is>
      </c>
    </row>
    <row r="62">
      <c r="A62" t="n">
        <v>2022</v>
      </c>
      <c r="B62" t="n">
        <v>4</v>
      </c>
      <c r="C62" t="inlineStr">
        <is>
          <t>松江</t>
        </is>
      </c>
      <c r="D62" t="n">
        <v>3.18</v>
      </c>
      <c r="E62" t="n">
        <v>39.18</v>
      </c>
      <c r="F62" t="n">
        <v>171335.67</v>
      </c>
      <c r="G62" t="n">
        <v>113831.57</v>
      </c>
      <c r="H62" t="inlineStr">
        <is>
          <t>2022-04-30</t>
        </is>
      </c>
      <c r="I62" t="inlineStr">
        <is>
          <t>verified_original_html</t>
        </is>
      </c>
      <c r="J62" t="inlineStr">
        <is>
          <t>https://www.shzfgjj.cn/html/newxxgk/ywsjtj/209350.html</t>
        </is>
      </c>
    </row>
    <row r="63">
      <c r="A63" t="n">
        <v>2022</v>
      </c>
      <c r="B63" t="n">
        <v>4</v>
      </c>
      <c r="C63" t="inlineStr">
        <is>
          <t>金山</t>
        </is>
      </c>
      <c r="D63" t="n">
        <v>1.39</v>
      </c>
      <c r="E63" t="n">
        <v>19.67</v>
      </c>
      <c r="F63" t="n">
        <v>107252.32</v>
      </c>
      <c r="G63" t="n">
        <v>71012.87</v>
      </c>
      <c r="H63" t="inlineStr">
        <is>
          <t>2022-04-30</t>
        </is>
      </c>
      <c r="I63" t="inlineStr">
        <is>
          <t>verified_original_html</t>
        </is>
      </c>
      <c r="J63" t="inlineStr">
        <is>
          <t>https://www.shzfgjj.cn/html/newxxgk/ywsjtj/209350.html</t>
        </is>
      </c>
    </row>
    <row r="64">
      <c r="A64" t="n">
        <v>2022</v>
      </c>
      <c r="B64" t="n">
        <v>4</v>
      </c>
      <c r="C64" t="inlineStr">
        <is>
          <t>青浦</t>
        </is>
      </c>
      <c r="D64" t="n">
        <v>1.72</v>
      </c>
      <c r="E64" t="n">
        <v>26.42</v>
      </c>
      <c r="F64" t="n">
        <v>126527.63</v>
      </c>
      <c r="G64" t="n">
        <v>82192.34</v>
      </c>
      <c r="H64" t="inlineStr">
        <is>
          <t>2022-04-30</t>
        </is>
      </c>
      <c r="I64" t="inlineStr">
        <is>
          <t>verified_original_html</t>
        </is>
      </c>
      <c r="J64" t="inlineStr">
        <is>
          <t>https://www.shzfgjj.cn/html/newxxgk/ywsjtj/209350.html</t>
        </is>
      </c>
    </row>
    <row r="65">
      <c r="A65" t="n">
        <v>2022</v>
      </c>
      <c r="B65" t="n">
        <v>4</v>
      </c>
      <c r="C65" t="inlineStr">
        <is>
          <t>崇明</t>
        </is>
      </c>
      <c r="D65" t="n">
        <v>0.35</v>
      </c>
      <c r="E65" t="n">
        <v>7.01</v>
      </c>
      <c r="F65" t="n">
        <v>46821.87</v>
      </c>
      <c r="G65" t="n">
        <v>31204.7</v>
      </c>
      <c r="H65" t="inlineStr">
        <is>
          <t>2022-04-30</t>
        </is>
      </c>
      <c r="I65" t="inlineStr">
        <is>
          <t>verified_original_html</t>
        </is>
      </c>
      <c r="J65" t="inlineStr">
        <is>
          <t>https://www.shzfgjj.cn/html/newxxgk/ywsjtj/209350.html</t>
        </is>
      </c>
    </row>
    <row r="66">
      <c r="A66" t="n">
        <v>2022</v>
      </c>
      <c r="B66" t="n">
        <v>5</v>
      </c>
      <c r="C66" t="inlineStr">
        <is>
          <t>黄浦</t>
        </is>
      </c>
      <c r="D66" t="n">
        <v>3.42</v>
      </c>
      <c r="E66" t="n">
        <v>119.47</v>
      </c>
      <c r="F66" t="n">
        <v>1729268.17</v>
      </c>
      <c r="G66" t="n">
        <v>1555183.14</v>
      </c>
      <c r="H66" t="inlineStr">
        <is>
          <t>2022-05-31</t>
        </is>
      </c>
      <c r="I66" t="inlineStr">
        <is>
          <t>verified_original_html</t>
        </is>
      </c>
      <c r="J66" t="inlineStr">
        <is>
          <t>https://www.shzfgjj.cn/html/newxxgk/ywsjtj/209550.html</t>
        </is>
      </c>
    </row>
    <row r="67">
      <c r="A67" t="n">
        <v>2022</v>
      </c>
      <c r="B67" t="n">
        <v>5</v>
      </c>
      <c r="C67" t="inlineStr">
        <is>
          <t>徐汇</t>
        </is>
      </c>
      <c r="D67" t="n">
        <v>4.91</v>
      </c>
      <c r="E67" t="n">
        <v>89.31999999999999</v>
      </c>
      <c r="F67" t="n">
        <v>962270.22</v>
      </c>
      <c r="G67" t="n">
        <v>575521.09</v>
      </c>
      <c r="H67" t="inlineStr">
        <is>
          <t>2022-05-31</t>
        </is>
      </c>
      <c r="I67" t="inlineStr">
        <is>
          <t>verified_original_html</t>
        </is>
      </c>
      <c r="J67" t="inlineStr">
        <is>
          <t>https://www.shzfgjj.cn/html/newxxgk/ywsjtj/209550.html</t>
        </is>
      </c>
    </row>
    <row r="68">
      <c r="A68" t="n">
        <v>2022</v>
      </c>
      <c r="B68" t="n">
        <v>5</v>
      </c>
      <c r="C68" t="inlineStr">
        <is>
          <t>长宁</t>
        </is>
      </c>
      <c r="D68" t="n">
        <v>2.47</v>
      </c>
      <c r="E68" t="n">
        <v>57.44</v>
      </c>
      <c r="F68" t="n">
        <v>590979.8100000001</v>
      </c>
      <c r="G68" t="n">
        <v>357983.49</v>
      </c>
      <c r="H68" t="inlineStr">
        <is>
          <t>2022-05-31</t>
        </is>
      </c>
      <c r="I68" t="inlineStr">
        <is>
          <t>verified_original_html</t>
        </is>
      </c>
      <c r="J68" t="inlineStr">
        <is>
          <t>https://www.shzfgjj.cn/html/newxxgk/ywsjtj/209550.html</t>
        </is>
      </c>
    </row>
    <row r="69">
      <c r="A69" t="n">
        <v>2022</v>
      </c>
      <c r="B69" t="n">
        <v>5</v>
      </c>
      <c r="C69" t="inlineStr">
        <is>
          <t>静安</t>
        </is>
      </c>
      <c r="D69" t="n">
        <v>3.61</v>
      </c>
      <c r="E69" t="n">
        <v>66.27</v>
      </c>
      <c r="F69" t="n">
        <v>587399.73</v>
      </c>
      <c r="G69" t="n">
        <v>355790.04</v>
      </c>
      <c r="H69" t="inlineStr">
        <is>
          <t>2022-05-31</t>
        </is>
      </c>
      <c r="I69" t="inlineStr">
        <is>
          <t>verified_original_html</t>
        </is>
      </c>
      <c r="J69" t="inlineStr">
        <is>
          <t>https://www.shzfgjj.cn/html/newxxgk/ywsjtj/209550.html</t>
        </is>
      </c>
    </row>
    <row r="70">
      <c r="A70" t="n">
        <v>2022</v>
      </c>
      <c r="B70" t="n">
        <v>5</v>
      </c>
      <c r="C70" t="inlineStr">
        <is>
          <t>普陀</t>
        </is>
      </c>
      <c r="D70" t="n">
        <v>3.43</v>
      </c>
      <c r="E70" t="n">
        <v>36.21</v>
      </c>
      <c r="F70" t="n">
        <v>242593.25</v>
      </c>
      <c r="G70" t="n">
        <v>143703.59</v>
      </c>
      <c r="H70" t="inlineStr">
        <is>
          <t>2022-05-31</t>
        </is>
      </c>
      <c r="I70" t="inlineStr">
        <is>
          <t>verified_original_html</t>
        </is>
      </c>
      <c r="J70" t="inlineStr">
        <is>
          <t>https://www.shzfgjj.cn/html/newxxgk/ywsjtj/209550.html</t>
        </is>
      </c>
    </row>
    <row r="71">
      <c r="A71" t="n">
        <v>2022</v>
      </c>
      <c r="B71" t="n">
        <v>5</v>
      </c>
      <c r="C71" t="inlineStr">
        <is>
          <t>虹口</t>
        </is>
      </c>
      <c r="D71" t="n">
        <v>2.25</v>
      </c>
      <c r="E71" t="n">
        <v>30.09</v>
      </c>
      <c r="F71" t="n">
        <v>235869.58</v>
      </c>
      <c r="G71" t="n">
        <v>153288.08</v>
      </c>
      <c r="H71" t="inlineStr">
        <is>
          <t>2022-05-31</t>
        </is>
      </c>
      <c r="I71" t="inlineStr">
        <is>
          <t>verified_original_html</t>
        </is>
      </c>
      <c r="J71" t="inlineStr">
        <is>
          <t>https://www.shzfgjj.cn/html/newxxgk/ywsjtj/209550.html</t>
        </is>
      </c>
    </row>
    <row r="72">
      <c r="A72" t="n">
        <v>2022</v>
      </c>
      <c r="B72" t="n">
        <v>5</v>
      </c>
      <c r="C72" t="inlineStr">
        <is>
          <t>杨浦</t>
        </is>
      </c>
      <c r="D72" t="n">
        <v>2.37</v>
      </c>
      <c r="E72" t="n">
        <v>35.12</v>
      </c>
      <c r="F72" t="n">
        <v>333986.46</v>
      </c>
      <c r="G72" t="n">
        <v>195300.66</v>
      </c>
      <c r="H72" t="inlineStr">
        <is>
          <t>2022-05-31</t>
        </is>
      </c>
      <c r="I72" t="inlineStr">
        <is>
          <t>verified_original_html</t>
        </is>
      </c>
      <c r="J72" t="inlineStr">
        <is>
          <t>https://www.shzfgjj.cn/html/newxxgk/ywsjtj/209550.html</t>
        </is>
      </c>
    </row>
    <row r="73">
      <c r="A73" t="n">
        <v>2022</v>
      </c>
      <c r="B73" t="n">
        <v>5</v>
      </c>
      <c r="C73" t="inlineStr">
        <is>
          <t>闵行</t>
        </is>
      </c>
      <c r="D73" t="n">
        <v>5.17</v>
      </c>
      <c r="E73" t="n">
        <v>56.69</v>
      </c>
      <c r="F73" t="n">
        <v>397118.11</v>
      </c>
      <c r="G73" t="n">
        <v>235206.72</v>
      </c>
      <c r="H73" t="inlineStr">
        <is>
          <t>2022-05-31</t>
        </is>
      </c>
      <c r="I73" t="inlineStr">
        <is>
          <t>verified_original_html</t>
        </is>
      </c>
      <c r="J73" t="inlineStr">
        <is>
          <t>https://www.shzfgjj.cn/html/newxxgk/ywsjtj/209550.html</t>
        </is>
      </c>
    </row>
    <row r="74">
      <c r="A74" t="n">
        <v>2022</v>
      </c>
      <c r="B74" t="n">
        <v>5</v>
      </c>
      <c r="C74" t="inlineStr">
        <is>
          <t>宝山</t>
        </is>
      </c>
      <c r="D74" t="n">
        <v>3.43</v>
      </c>
      <c r="E74" t="n">
        <v>40.68</v>
      </c>
      <c r="F74" t="n">
        <v>305743.5</v>
      </c>
      <c r="G74" t="n">
        <v>191542.02</v>
      </c>
      <c r="H74" t="inlineStr">
        <is>
          <t>2022-05-31</t>
        </is>
      </c>
      <c r="I74" t="inlineStr">
        <is>
          <t>verified_original_html</t>
        </is>
      </c>
      <c r="J74" t="inlineStr">
        <is>
          <t>https://www.shzfgjj.cn/html/newxxgk/ywsjtj/209550.html</t>
        </is>
      </c>
    </row>
    <row r="75">
      <c r="A75" t="n">
        <v>2022</v>
      </c>
      <c r="B75" t="n">
        <v>5</v>
      </c>
      <c r="C75" t="inlineStr">
        <is>
          <t>嘉定</t>
        </is>
      </c>
      <c r="D75" t="n">
        <v>2.89</v>
      </c>
      <c r="E75" t="n">
        <v>38.19</v>
      </c>
      <c r="F75" t="n">
        <v>275253.83</v>
      </c>
      <c r="G75" t="n">
        <v>174958.88</v>
      </c>
      <c r="H75" t="inlineStr">
        <is>
          <t>2022-05-31</t>
        </is>
      </c>
      <c r="I75" t="inlineStr">
        <is>
          <t>verified_original_html</t>
        </is>
      </c>
      <c r="J75" t="inlineStr">
        <is>
          <t>https://www.shzfgjj.cn/html/newxxgk/ywsjtj/209550.html</t>
        </is>
      </c>
    </row>
    <row r="76">
      <c r="A76" t="n">
        <v>2022</v>
      </c>
      <c r="B76" t="n">
        <v>5</v>
      </c>
      <c r="C76" t="inlineStr">
        <is>
          <t>浦东</t>
        </is>
      </c>
      <c r="D76" t="n">
        <v>9.24</v>
      </c>
      <c r="E76" t="n">
        <v>160.64</v>
      </c>
      <c r="F76" t="n">
        <v>1487781.66</v>
      </c>
      <c r="G76" t="n">
        <v>885699.61</v>
      </c>
      <c r="H76" t="inlineStr">
        <is>
          <t>2022-05-31</t>
        </is>
      </c>
      <c r="I76" t="inlineStr">
        <is>
          <t>verified_original_html</t>
        </is>
      </c>
      <c r="J76" t="inlineStr">
        <is>
          <t>https://www.shzfgjj.cn/html/newxxgk/ywsjtj/209550.html</t>
        </is>
      </c>
    </row>
    <row r="77">
      <c r="A77" t="n">
        <v>2022</v>
      </c>
      <c r="B77" t="n">
        <v>5</v>
      </c>
      <c r="C77" t="inlineStr">
        <is>
          <t>奉贤</t>
        </is>
      </c>
      <c r="D77" t="n">
        <v>1.85</v>
      </c>
      <c r="E77" t="n">
        <v>20.89</v>
      </c>
      <c r="F77" t="n">
        <v>132312.59</v>
      </c>
      <c r="G77" t="n">
        <v>81278.36</v>
      </c>
      <c r="H77" t="inlineStr">
        <is>
          <t>2022-05-31</t>
        </is>
      </c>
      <c r="I77" t="inlineStr">
        <is>
          <t>verified_original_html</t>
        </is>
      </c>
      <c r="J77" t="inlineStr">
        <is>
          <t>https://www.shzfgjj.cn/html/newxxgk/ywsjtj/209550.html</t>
        </is>
      </c>
    </row>
    <row r="78">
      <c r="A78" t="n">
        <v>2022</v>
      </c>
      <c r="B78" t="n">
        <v>5</v>
      </c>
      <c r="C78" t="inlineStr">
        <is>
          <t>松江</t>
        </is>
      </c>
      <c r="D78" t="n">
        <v>3.18</v>
      </c>
      <c r="E78" t="n">
        <v>39.15</v>
      </c>
      <c r="F78" t="n">
        <v>208779.19</v>
      </c>
      <c r="G78" t="n">
        <v>133461.78</v>
      </c>
      <c r="H78" t="inlineStr">
        <is>
          <t>2022-05-31</t>
        </is>
      </c>
      <c r="I78" t="inlineStr">
        <is>
          <t>verified_original_html</t>
        </is>
      </c>
      <c r="J78" t="inlineStr">
        <is>
          <t>https://www.shzfgjj.cn/html/newxxgk/ywsjtj/209550.html</t>
        </is>
      </c>
    </row>
    <row r="79">
      <c r="A79" t="n">
        <v>2022</v>
      </c>
      <c r="B79" t="n">
        <v>5</v>
      </c>
      <c r="C79" t="inlineStr">
        <is>
          <t>金山</t>
        </is>
      </c>
      <c r="D79" t="n">
        <v>1.38</v>
      </c>
      <c r="E79" t="n">
        <v>19.62</v>
      </c>
      <c r="F79" t="n">
        <v>132609.57</v>
      </c>
      <c r="G79" t="n">
        <v>83757.42999999999</v>
      </c>
      <c r="H79" t="inlineStr">
        <is>
          <t>2022-05-31</t>
        </is>
      </c>
      <c r="I79" t="inlineStr">
        <is>
          <t>verified_original_html</t>
        </is>
      </c>
      <c r="J79" t="inlineStr">
        <is>
          <t>https://www.shzfgjj.cn/html/newxxgk/ywsjtj/209550.html</t>
        </is>
      </c>
    </row>
    <row r="80">
      <c r="A80" t="n">
        <v>2022</v>
      </c>
      <c r="B80" t="n">
        <v>5</v>
      </c>
      <c r="C80" t="inlineStr">
        <is>
          <t>青浦</t>
        </is>
      </c>
      <c r="D80" t="n">
        <v>1.72</v>
      </c>
      <c r="E80" t="n">
        <v>26.33</v>
      </c>
      <c r="F80" t="n">
        <v>156902.03</v>
      </c>
      <c r="G80" t="n">
        <v>96449.53999999999</v>
      </c>
      <c r="H80" t="inlineStr">
        <is>
          <t>2022-05-31</t>
        </is>
      </c>
      <c r="I80" t="inlineStr">
        <is>
          <t>verified_original_html</t>
        </is>
      </c>
      <c r="J80" t="inlineStr">
        <is>
          <t>https://www.shzfgjj.cn/html/newxxgk/ywsjtj/209550.html</t>
        </is>
      </c>
    </row>
    <row r="81">
      <c r="A81" t="n">
        <v>2022</v>
      </c>
      <c r="B81" t="n">
        <v>5</v>
      </c>
      <c r="C81" t="inlineStr">
        <is>
          <t>崇明</t>
        </is>
      </c>
      <c r="D81" t="n">
        <v>0.35</v>
      </c>
      <c r="E81" t="n">
        <v>7.07</v>
      </c>
      <c r="F81" t="n">
        <v>59709.28</v>
      </c>
      <c r="G81" t="n">
        <v>37851.14</v>
      </c>
      <c r="H81" t="inlineStr">
        <is>
          <t>2022-05-31</t>
        </is>
      </c>
      <c r="I81" t="inlineStr">
        <is>
          <t>verified_original_html</t>
        </is>
      </c>
      <c r="J81" t="inlineStr">
        <is>
          <t>https://www.shzfgjj.cn/html/newxxgk/ywsjtj/209550.html</t>
        </is>
      </c>
    </row>
    <row r="82">
      <c r="A82" t="n">
        <v>2022</v>
      </c>
      <c r="B82" t="n">
        <v>6</v>
      </c>
      <c r="C82" t="inlineStr">
        <is>
          <t>黄浦</t>
        </is>
      </c>
      <c r="D82" t="n">
        <v>3.41</v>
      </c>
      <c r="E82" t="n">
        <v>119.06</v>
      </c>
      <c r="F82" t="n">
        <v>2170400.82</v>
      </c>
      <c r="G82" t="n">
        <v>1878041.15</v>
      </c>
      <c r="H82" t="inlineStr">
        <is>
          <t>2022-06-30</t>
        </is>
      </c>
      <c r="I82" t="inlineStr">
        <is>
          <t>verified_original_html</t>
        </is>
      </c>
      <c r="J82" t="inlineStr">
        <is>
          <t>https://www.shzfgjj.cn/html/newxxgk/ywsjtj/210080.html</t>
        </is>
      </c>
    </row>
    <row r="83">
      <c r="A83" t="n">
        <v>2022</v>
      </c>
      <c r="B83" t="n">
        <v>6</v>
      </c>
      <c r="C83" t="inlineStr">
        <is>
          <t>徐汇</t>
        </is>
      </c>
      <c r="D83" t="n">
        <v>4.92</v>
      </c>
      <c r="E83" t="n">
        <v>89.58</v>
      </c>
      <c r="F83" t="n">
        <v>1224020.88</v>
      </c>
      <c r="G83" t="n">
        <v>689841.99</v>
      </c>
      <c r="H83" t="inlineStr">
        <is>
          <t>2022-06-30</t>
        </is>
      </c>
      <c r="I83" t="inlineStr">
        <is>
          <t>verified_original_html</t>
        </is>
      </c>
      <c r="J83" t="inlineStr">
        <is>
          <t>https://www.shzfgjj.cn/html/newxxgk/ywsjtj/210080.html</t>
        </is>
      </c>
    </row>
    <row r="84">
      <c r="A84" t="n">
        <v>2022</v>
      </c>
      <c r="B84" t="n">
        <v>6</v>
      </c>
      <c r="C84" t="inlineStr">
        <is>
          <t>长宁</t>
        </is>
      </c>
      <c r="D84" t="n">
        <v>2.47</v>
      </c>
      <c r="E84" t="n">
        <v>56.33</v>
      </c>
      <c r="F84" t="n">
        <v>741043.6800000001</v>
      </c>
      <c r="G84" t="n">
        <v>425713.86</v>
      </c>
      <c r="H84" t="inlineStr">
        <is>
          <t>2022-06-30</t>
        </is>
      </c>
      <c r="I84" t="inlineStr">
        <is>
          <t>verified_original_html</t>
        </is>
      </c>
      <c r="J84" t="inlineStr">
        <is>
          <t>https://www.shzfgjj.cn/html/newxxgk/ywsjtj/210080.html</t>
        </is>
      </c>
    </row>
    <row r="85">
      <c r="A85" t="n">
        <v>2022</v>
      </c>
      <c r="B85" t="n">
        <v>6</v>
      </c>
      <c r="C85" t="inlineStr">
        <is>
          <t>静安</t>
        </is>
      </c>
      <c r="D85" t="n">
        <v>3.61</v>
      </c>
      <c r="E85" t="n">
        <v>65.77</v>
      </c>
      <c r="F85" t="n">
        <v>766208.09</v>
      </c>
      <c r="G85" t="n">
        <v>429405.06</v>
      </c>
      <c r="H85" t="inlineStr">
        <is>
          <t>2022-06-30</t>
        </is>
      </c>
      <c r="I85" t="inlineStr">
        <is>
          <t>verified_original_html</t>
        </is>
      </c>
      <c r="J85" t="inlineStr">
        <is>
          <t>https://www.shzfgjj.cn/html/newxxgk/ywsjtj/210080.html</t>
        </is>
      </c>
    </row>
    <row r="86">
      <c r="A86" t="n">
        <v>2022</v>
      </c>
      <c r="B86" t="n">
        <v>6</v>
      </c>
      <c r="C86" t="inlineStr">
        <is>
          <t>普陀</t>
        </is>
      </c>
      <c r="D86" t="n">
        <v>3.42</v>
      </c>
      <c r="E86" t="n">
        <v>36.08</v>
      </c>
      <c r="F86" t="n">
        <v>322137.86</v>
      </c>
      <c r="G86" t="n">
        <v>173365.13</v>
      </c>
      <c r="H86" t="inlineStr">
        <is>
          <t>2022-06-30</t>
        </is>
      </c>
      <c r="I86" t="inlineStr">
        <is>
          <t>verified_original_html</t>
        </is>
      </c>
      <c r="J86" t="inlineStr">
        <is>
          <t>https://www.shzfgjj.cn/html/newxxgk/ywsjtj/210080.html</t>
        </is>
      </c>
    </row>
    <row r="87">
      <c r="A87" t="n">
        <v>2022</v>
      </c>
      <c r="B87" t="n">
        <v>6</v>
      </c>
      <c r="C87" t="inlineStr">
        <is>
          <t>虹口</t>
        </is>
      </c>
      <c r="D87" t="n">
        <v>2.25</v>
      </c>
      <c r="E87" t="n">
        <v>29.93</v>
      </c>
      <c r="F87" t="n">
        <v>319079.58</v>
      </c>
      <c r="G87" t="n">
        <v>187153.8</v>
      </c>
      <c r="H87" t="inlineStr">
        <is>
          <t>2022-06-30</t>
        </is>
      </c>
      <c r="I87" t="inlineStr">
        <is>
          <t>verified_original_html</t>
        </is>
      </c>
      <c r="J87" t="inlineStr">
        <is>
          <t>https://www.shzfgjj.cn/html/newxxgk/ywsjtj/210080.html</t>
        </is>
      </c>
    </row>
    <row r="88">
      <c r="A88" t="n">
        <v>2022</v>
      </c>
      <c r="B88" t="n">
        <v>6</v>
      </c>
      <c r="C88" t="inlineStr">
        <is>
          <t>杨浦</t>
        </is>
      </c>
      <c r="D88" t="n">
        <v>2.37</v>
      </c>
      <c r="E88" t="n">
        <v>34.76</v>
      </c>
      <c r="F88" t="n">
        <v>434495.65</v>
      </c>
      <c r="G88" t="n">
        <v>236059.51</v>
      </c>
      <c r="H88" t="inlineStr">
        <is>
          <t>2022-06-30</t>
        </is>
      </c>
      <c r="I88" t="inlineStr">
        <is>
          <t>verified_original_html</t>
        </is>
      </c>
      <c r="J88" t="inlineStr">
        <is>
          <t>https://www.shzfgjj.cn/html/newxxgk/ywsjtj/210080.html</t>
        </is>
      </c>
    </row>
    <row r="89">
      <c r="A89" t="n">
        <v>2022</v>
      </c>
      <c r="B89" t="n">
        <v>6</v>
      </c>
      <c r="C89" t="inlineStr">
        <is>
          <t>闵行</t>
        </is>
      </c>
      <c r="D89" t="n">
        <v>5.21</v>
      </c>
      <c r="E89" t="n">
        <v>56.68</v>
      </c>
      <c r="F89" t="n">
        <v>514977.96</v>
      </c>
      <c r="G89" t="n">
        <v>285699.16</v>
      </c>
      <c r="H89" t="inlineStr">
        <is>
          <t>2022-06-30</t>
        </is>
      </c>
      <c r="I89" t="inlineStr">
        <is>
          <t>verified_original_html</t>
        </is>
      </c>
      <c r="J89" t="inlineStr">
        <is>
          <t>https://www.shzfgjj.cn/html/newxxgk/ywsjtj/210080.html</t>
        </is>
      </c>
    </row>
    <row r="90">
      <c r="A90" t="n">
        <v>2022</v>
      </c>
      <c r="B90" t="n">
        <v>6</v>
      </c>
      <c r="C90" t="inlineStr">
        <is>
          <t>宝山</t>
        </is>
      </c>
      <c r="D90" t="n">
        <v>3.44</v>
      </c>
      <c r="E90" t="n">
        <v>40.43</v>
      </c>
      <c r="F90" t="n">
        <v>401564.1</v>
      </c>
      <c r="G90" t="n">
        <v>232653.78</v>
      </c>
      <c r="H90" t="inlineStr">
        <is>
          <t>2022-06-30</t>
        </is>
      </c>
      <c r="I90" t="inlineStr">
        <is>
          <t>verified_original_html</t>
        </is>
      </c>
      <c r="J90" t="inlineStr">
        <is>
          <t>https://www.shzfgjj.cn/html/newxxgk/ywsjtj/210080.html</t>
        </is>
      </c>
    </row>
    <row r="91">
      <c r="A91" t="n">
        <v>2022</v>
      </c>
      <c r="B91" t="n">
        <v>6</v>
      </c>
      <c r="C91" t="inlineStr">
        <is>
          <t>嘉定</t>
        </is>
      </c>
      <c r="D91" t="n">
        <v>2.9</v>
      </c>
      <c r="E91" t="n">
        <v>38.88</v>
      </c>
      <c r="F91" t="n">
        <v>358835.23</v>
      </c>
      <c r="G91" t="n">
        <v>212461.98</v>
      </c>
      <c r="H91" t="inlineStr">
        <is>
          <t>2022-06-30</t>
        </is>
      </c>
      <c r="I91" t="inlineStr">
        <is>
          <t>verified_original_html</t>
        </is>
      </c>
      <c r="J91" t="inlineStr">
        <is>
          <t>https://www.shzfgjj.cn/html/newxxgk/ywsjtj/210080.html</t>
        </is>
      </c>
    </row>
    <row r="92">
      <c r="A92" t="n">
        <v>2022</v>
      </c>
      <c r="B92" t="n">
        <v>6</v>
      </c>
      <c r="C92" t="inlineStr">
        <is>
          <t>浦东</t>
        </is>
      </c>
      <c r="D92" t="n">
        <v>9.26</v>
      </c>
      <c r="E92" t="n">
        <v>160.34</v>
      </c>
      <c r="F92" t="n">
        <v>1898602.86</v>
      </c>
      <c r="G92" t="n">
        <v>1068720.55</v>
      </c>
      <c r="H92" t="inlineStr">
        <is>
          <t>2022-06-30</t>
        </is>
      </c>
      <c r="I92" t="inlineStr">
        <is>
          <t>verified_original_html</t>
        </is>
      </c>
      <c r="J92" t="inlineStr">
        <is>
          <t>https://www.shzfgjj.cn/html/newxxgk/ywsjtj/210080.html</t>
        </is>
      </c>
    </row>
    <row r="93">
      <c r="A93" t="n">
        <v>2022</v>
      </c>
      <c r="B93" t="n">
        <v>6</v>
      </c>
      <c r="C93" t="inlineStr">
        <is>
          <t>奉贤</t>
        </is>
      </c>
      <c r="D93" t="n">
        <v>1.86</v>
      </c>
      <c r="E93" t="n">
        <v>20.94</v>
      </c>
      <c r="F93" t="n">
        <v>167609.98</v>
      </c>
      <c r="G93" t="n">
        <v>97325.78</v>
      </c>
      <c r="H93" t="inlineStr">
        <is>
          <t>2022-06-30</t>
        </is>
      </c>
      <c r="I93" t="inlineStr">
        <is>
          <t>verified_original_html</t>
        </is>
      </c>
      <c r="J93" t="inlineStr">
        <is>
          <t>https://www.shzfgjj.cn/html/newxxgk/ywsjtj/210080.html</t>
        </is>
      </c>
    </row>
    <row r="94">
      <c r="A94" t="n">
        <v>2022</v>
      </c>
      <c r="B94" t="n">
        <v>6</v>
      </c>
      <c r="C94" t="inlineStr">
        <is>
          <t>松江</t>
        </is>
      </c>
      <c r="D94" t="n">
        <v>3.19</v>
      </c>
      <c r="E94" t="n">
        <v>39.34</v>
      </c>
      <c r="F94" t="n">
        <v>282417.05</v>
      </c>
      <c r="G94" t="n">
        <v>161345.63</v>
      </c>
      <c r="H94" t="inlineStr">
        <is>
          <t>2022-06-30</t>
        </is>
      </c>
      <c r="I94" t="inlineStr">
        <is>
          <t>verified_original_html</t>
        </is>
      </c>
      <c r="J94" t="inlineStr">
        <is>
          <t>https://www.shzfgjj.cn/html/newxxgk/ywsjtj/210080.html</t>
        </is>
      </c>
    </row>
    <row r="95">
      <c r="A95" t="n">
        <v>2022</v>
      </c>
      <c r="B95" t="n">
        <v>6</v>
      </c>
      <c r="C95" t="inlineStr">
        <is>
          <t>金山</t>
        </is>
      </c>
      <c r="D95" t="n">
        <v>1.39</v>
      </c>
      <c r="E95" t="n">
        <v>19.58</v>
      </c>
      <c r="F95" t="n">
        <v>168658.79</v>
      </c>
      <c r="G95" t="n">
        <v>101369.33</v>
      </c>
      <c r="H95" t="inlineStr">
        <is>
          <t>2022-06-30</t>
        </is>
      </c>
      <c r="I95" t="inlineStr">
        <is>
          <t>verified_original_html</t>
        </is>
      </c>
      <c r="J95" t="inlineStr">
        <is>
          <t>https://www.shzfgjj.cn/html/newxxgk/ywsjtj/210080.html</t>
        </is>
      </c>
    </row>
    <row r="96">
      <c r="A96" t="n">
        <v>2022</v>
      </c>
      <c r="B96" t="n">
        <v>6</v>
      </c>
      <c r="C96" t="inlineStr">
        <is>
          <t>青浦</t>
        </is>
      </c>
      <c r="D96" t="n">
        <v>1.73</v>
      </c>
      <c r="E96" t="n">
        <v>26.23</v>
      </c>
      <c r="F96" t="n">
        <v>205574.99</v>
      </c>
      <c r="G96" t="n">
        <v>116485.13</v>
      </c>
      <c r="H96" t="inlineStr">
        <is>
          <t>2022-06-30</t>
        </is>
      </c>
      <c r="I96" t="inlineStr">
        <is>
          <t>verified_original_html</t>
        </is>
      </c>
      <c r="J96" t="inlineStr">
        <is>
          <t>https://www.shzfgjj.cn/html/newxxgk/ywsjtj/210080.html</t>
        </is>
      </c>
    </row>
    <row r="97">
      <c r="A97" t="n">
        <v>2022</v>
      </c>
      <c r="B97" t="n">
        <v>6</v>
      </c>
      <c r="C97" t="inlineStr">
        <is>
          <t>崇明</t>
        </is>
      </c>
      <c r="D97" t="n">
        <v>0.35</v>
      </c>
      <c r="E97" t="n">
        <v>6.96</v>
      </c>
      <c r="F97" t="n">
        <v>72646.00999999999</v>
      </c>
      <c r="G97" t="n">
        <v>45616.41</v>
      </c>
      <c r="H97" t="inlineStr">
        <is>
          <t>2022-06-30</t>
        </is>
      </c>
      <c r="I97" t="inlineStr">
        <is>
          <t>verified_original_html</t>
        </is>
      </c>
      <c r="J97" t="inlineStr">
        <is>
          <t>https://www.shzfgjj.cn/html/newxxgk/ywsjtj/210080.html</t>
        </is>
      </c>
    </row>
    <row r="98">
      <c r="A98" t="n">
        <v>2022</v>
      </c>
      <c r="B98" t="n">
        <v>7</v>
      </c>
      <c r="C98" t="inlineStr">
        <is>
          <t>黄浦</t>
        </is>
      </c>
      <c r="D98" t="n">
        <v>3.42</v>
      </c>
      <c r="E98" t="n">
        <v>120.02</v>
      </c>
      <c r="F98" t="n">
        <v>2563463.89</v>
      </c>
      <c r="G98" t="n">
        <v>2251510.13</v>
      </c>
      <c r="H98" t="inlineStr">
        <is>
          <t>2022-07-31</t>
        </is>
      </c>
      <c r="I98" t="inlineStr">
        <is>
          <t>verified_original_html</t>
        </is>
      </c>
      <c r="J98" t="inlineStr">
        <is>
          <t>https://www.shzfgjj.cn/html/newxxgk/ywsjtj/210399.html</t>
        </is>
      </c>
    </row>
    <row r="99">
      <c r="A99" t="n">
        <v>2022</v>
      </c>
      <c r="B99" t="n">
        <v>7</v>
      </c>
      <c r="C99" t="inlineStr">
        <is>
          <t>徐汇</t>
        </is>
      </c>
      <c r="D99" t="n">
        <v>4.94</v>
      </c>
      <c r="E99" t="n">
        <v>90.13</v>
      </c>
      <c r="F99" t="n">
        <v>1440082.1</v>
      </c>
      <c r="G99" t="n">
        <v>814439.8</v>
      </c>
      <c r="H99" t="inlineStr">
        <is>
          <t>2022-07-31</t>
        </is>
      </c>
      <c r="I99" t="inlineStr">
        <is>
          <t>verified_original_html</t>
        </is>
      </c>
      <c r="J99" t="inlineStr">
        <is>
          <t>https://www.shzfgjj.cn/html/newxxgk/ywsjtj/210399.html</t>
        </is>
      </c>
    </row>
    <row r="100">
      <c r="A100" t="n">
        <v>2022</v>
      </c>
      <c r="B100" t="n">
        <v>7</v>
      </c>
      <c r="C100" t="inlineStr">
        <is>
          <t>长宁</t>
        </is>
      </c>
      <c r="D100" t="n">
        <v>2.47</v>
      </c>
      <c r="E100" t="n">
        <v>55.79</v>
      </c>
      <c r="F100" t="n">
        <v>865571.85</v>
      </c>
      <c r="G100" t="n">
        <v>498329.16</v>
      </c>
      <c r="H100" t="inlineStr">
        <is>
          <t>2022-07-31</t>
        </is>
      </c>
      <c r="I100" t="inlineStr">
        <is>
          <t>verified_original_html</t>
        </is>
      </c>
      <c r="J100" t="inlineStr">
        <is>
          <t>https://www.shzfgjj.cn/html/newxxgk/ywsjtj/210399.html</t>
        </is>
      </c>
    </row>
    <row r="101">
      <c r="A101" t="n">
        <v>2022</v>
      </c>
      <c r="B101" t="n">
        <v>7</v>
      </c>
      <c r="C101" t="inlineStr">
        <is>
          <t>静安</t>
        </is>
      </c>
      <c r="D101" t="n">
        <v>3.61</v>
      </c>
      <c r="E101" t="n">
        <v>65.56999999999999</v>
      </c>
      <c r="F101" t="n">
        <v>903147.4399999999</v>
      </c>
      <c r="G101" t="n">
        <v>510890.37</v>
      </c>
      <c r="H101" t="inlineStr">
        <is>
          <t>2022-07-31</t>
        </is>
      </c>
      <c r="I101" t="inlineStr">
        <is>
          <t>verified_original_html</t>
        </is>
      </c>
      <c r="J101" t="inlineStr">
        <is>
          <t>https://www.shzfgjj.cn/html/newxxgk/ywsjtj/210399.html</t>
        </is>
      </c>
    </row>
    <row r="102">
      <c r="A102" t="n">
        <v>2022</v>
      </c>
      <c r="B102" t="n">
        <v>7</v>
      </c>
      <c r="C102" t="inlineStr">
        <is>
          <t>普陀</t>
        </is>
      </c>
      <c r="D102" t="n">
        <v>3.44</v>
      </c>
      <c r="E102" t="n">
        <v>36.11</v>
      </c>
      <c r="F102" t="n">
        <v>381858.45</v>
      </c>
      <c r="G102" t="n">
        <v>208354.36</v>
      </c>
      <c r="H102" t="inlineStr">
        <is>
          <t>2022-07-31</t>
        </is>
      </c>
      <c r="I102" t="inlineStr">
        <is>
          <t>verified_original_html</t>
        </is>
      </c>
      <c r="J102" t="inlineStr">
        <is>
          <t>https://www.shzfgjj.cn/html/newxxgk/ywsjtj/210399.html</t>
        </is>
      </c>
    </row>
    <row r="103">
      <c r="A103" t="n">
        <v>2022</v>
      </c>
      <c r="B103" t="n">
        <v>7</v>
      </c>
      <c r="C103" t="inlineStr">
        <is>
          <t>虹口</t>
        </is>
      </c>
      <c r="D103" t="n">
        <v>2.26</v>
      </c>
      <c r="E103" t="n">
        <v>30.01</v>
      </c>
      <c r="F103" t="n">
        <v>376663.29</v>
      </c>
      <c r="G103" t="n">
        <v>224081.17</v>
      </c>
      <c r="H103" t="inlineStr">
        <is>
          <t>2022-07-31</t>
        </is>
      </c>
      <c r="I103" t="inlineStr">
        <is>
          <t>verified_original_html</t>
        </is>
      </c>
      <c r="J103" t="inlineStr">
        <is>
          <t>https://www.shzfgjj.cn/html/newxxgk/ywsjtj/210399.html</t>
        </is>
      </c>
    </row>
    <row r="104">
      <c r="A104" t="n">
        <v>2022</v>
      </c>
      <c r="B104" t="n">
        <v>7</v>
      </c>
      <c r="C104" t="inlineStr">
        <is>
          <t>杨浦</t>
        </is>
      </c>
      <c r="D104" t="n">
        <v>2.37</v>
      </c>
      <c r="E104" t="n">
        <v>34.81</v>
      </c>
      <c r="F104" t="n">
        <v>513689.41</v>
      </c>
      <c r="G104" t="n">
        <v>281137.39</v>
      </c>
      <c r="H104" t="inlineStr">
        <is>
          <t>2022-07-31</t>
        </is>
      </c>
      <c r="I104" t="inlineStr">
        <is>
          <t>verified_original_html</t>
        </is>
      </c>
      <c r="J104" t="inlineStr">
        <is>
          <t>https://www.shzfgjj.cn/html/newxxgk/ywsjtj/210399.html</t>
        </is>
      </c>
    </row>
    <row r="105">
      <c r="A105" t="n">
        <v>2022</v>
      </c>
      <c r="B105" t="n">
        <v>7</v>
      </c>
      <c r="C105" t="inlineStr">
        <is>
          <t>闵行</t>
        </is>
      </c>
      <c r="D105" t="n">
        <v>5.3</v>
      </c>
      <c r="E105" t="n">
        <v>57.02</v>
      </c>
      <c r="F105" t="n">
        <v>608717.8199999999</v>
      </c>
      <c r="G105" t="n">
        <v>337815.34</v>
      </c>
      <c r="H105" t="inlineStr">
        <is>
          <t>2022-07-31</t>
        </is>
      </c>
      <c r="I105" t="inlineStr">
        <is>
          <t>verified_original_html</t>
        </is>
      </c>
      <c r="J105" t="inlineStr">
        <is>
          <t>https://www.shzfgjj.cn/html/newxxgk/ywsjtj/210399.html</t>
        </is>
      </c>
    </row>
    <row r="106">
      <c r="A106" t="n">
        <v>2022</v>
      </c>
      <c r="B106" t="n">
        <v>7</v>
      </c>
      <c r="C106" t="inlineStr">
        <is>
          <t>宝山</t>
        </is>
      </c>
      <c r="D106" t="n">
        <v>3.46</v>
      </c>
      <c r="E106" t="n">
        <v>40.11</v>
      </c>
      <c r="F106" t="n">
        <v>474355.51</v>
      </c>
      <c r="G106" t="n">
        <v>275328.78</v>
      </c>
      <c r="H106" t="inlineStr">
        <is>
          <t>2022-07-31</t>
        </is>
      </c>
      <c r="I106" t="inlineStr">
        <is>
          <t>verified_original_html</t>
        </is>
      </c>
      <c r="J106" t="inlineStr">
        <is>
          <t>https://www.shzfgjj.cn/html/newxxgk/ywsjtj/210399.html</t>
        </is>
      </c>
    </row>
    <row r="107">
      <c r="A107" t="n">
        <v>2022</v>
      </c>
      <c r="B107" t="n">
        <v>7</v>
      </c>
      <c r="C107" t="inlineStr">
        <is>
          <t>嘉定</t>
        </is>
      </c>
      <c r="D107" t="n">
        <v>2.92</v>
      </c>
      <c r="E107" t="n">
        <v>39.12</v>
      </c>
      <c r="F107" t="n">
        <v>428549.36</v>
      </c>
      <c r="G107" t="n">
        <v>253917.07</v>
      </c>
      <c r="H107" t="inlineStr">
        <is>
          <t>2022-07-31</t>
        </is>
      </c>
      <c r="I107" t="inlineStr">
        <is>
          <t>verified_original_html</t>
        </is>
      </c>
      <c r="J107" t="inlineStr">
        <is>
          <t>https://www.shzfgjj.cn/html/newxxgk/ywsjtj/210399.html</t>
        </is>
      </c>
    </row>
    <row r="108">
      <c r="A108" t="n">
        <v>2022</v>
      </c>
      <c r="B108" t="n">
        <v>7</v>
      </c>
      <c r="C108" t="inlineStr">
        <is>
          <t>浦东</t>
        </is>
      </c>
      <c r="D108" t="n">
        <v>9.32</v>
      </c>
      <c r="E108" t="n">
        <v>161.59</v>
      </c>
      <c r="F108" t="n">
        <v>2237876.72</v>
      </c>
      <c r="G108" t="n">
        <v>1258707.61</v>
      </c>
      <c r="H108" t="inlineStr">
        <is>
          <t>2022-07-31</t>
        </is>
      </c>
      <c r="I108" t="inlineStr">
        <is>
          <t>verified_original_html</t>
        </is>
      </c>
      <c r="J108" t="inlineStr">
        <is>
          <t>https://www.shzfgjj.cn/html/newxxgk/ywsjtj/210399.html</t>
        </is>
      </c>
    </row>
    <row r="109">
      <c r="A109" t="n">
        <v>2022</v>
      </c>
      <c r="B109" t="n">
        <v>7</v>
      </c>
      <c r="C109" t="inlineStr">
        <is>
          <t>奉贤</t>
        </is>
      </c>
      <c r="D109" t="n">
        <v>1.89</v>
      </c>
      <c r="E109" t="n">
        <v>21.08</v>
      </c>
      <c r="F109" t="n">
        <v>198250.63</v>
      </c>
      <c r="G109" t="n">
        <v>112683.25</v>
      </c>
      <c r="H109" t="inlineStr">
        <is>
          <t>2022-07-31</t>
        </is>
      </c>
      <c r="I109" t="inlineStr">
        <is>
          <t>verified_original_html</t>
        </is>
      </c>
      <c r="J109" t="inlineStr">
        <is>
          <t>https://www.shzfgjj.cn/html/newxxgk/ywsjtj/210399.html</t>
        </is>
      </c>
    </row>
    <row r="110">
      <c r="A110" t="n">
        <v>2022</v>
      </c>
      <c r="B110" t="n">
        <v>7</v>
      </c>
      <c r="C110" t="inlineStr">
        <is>
          <t>松江</t>
        </is>
      </c>
      <c r="D110" t="n">
        <v>3.22</v>
      </c>
      <c r="E110" t="n">
        <v>39.69</v>
      </c>
      <c r="F110" t="n">
        <v>334799.62</v>
      </c>
      <c r="G110" t="n">
        <v>190750.39</v>
      </c>
      <c r="H110" t="inlineStr">
        <is>
          <t>2022-07-31</t>
        </is>
      </c>
      <c r="I110" t="inlineStr">
        <is>
          <t>verified_original_html</t>
        </is>
      </c>
      <c r="J110" t="inlineStr">
        <is>
          <t>https://www.shzfgjj.cn/html/newxxgk/ywsjtj/210399.html</t>
        </is>
      </c>
    </row>
    <row r="111">
      <c r="A111" t="n">
        <v>2022</v>
      </c>
      <c r="B111" t="n">
        <v>7</v>
      </c>
      <c r="C111" t="inlineStr">
        <is>
          <t>金山</t>
        </is>
      </c>
      <c r="D111" t="n">
        <v>1.39</v>
      </c>
      <c r="E111" t="n">
        <v>19.68</v>
      </c>
      <c r="F111" t="n">
        <v>199534.65</v>
      </c>
      <c r="G111" t="n">
        <v>119148.63</v>
      </c>
      <c r="H111" t="inlineStr">
        <is>
          <t>2022-07-31</t>
        </is>
      </c>
      <c r="I111" t="inlineStr">
        <is>
          <t>verified_original_html</t>
        </is>
      </c>
      <c r="J111" t="inlineStr">
        <is>
          <t>https://www.shzfgjj.cn/html/newxxgk/ywsjtj/210399.html</t>
        </is>
      </c>
    </row>
    <row r="112">
      <c r="A112" t="n">
        <v>2022</v>
      </c>
      <c r="B112" t="n">
        <v>7</v>
      </c>
      <c r="C112" t="inlineStr">
        <is>
          <t>青浦</t>
        </is>
      </c>
      <c r="D112" t="n">
        <v>1.74</v>
      </c>
      <c r="E112" t="n">
        <v>26.19</v>
      </c>
      <c r="F112" t="n">
        <v>242582.76</v>
      </c>
      <c r="G112" t="n">
        <v>137716.58</v>
      </c>
      <c r="H112" t="inlineStr">
        <is>
          <t>2022-07-31</t>
        </is>
      </c>
      <c r="I112" t="inlineStr">
        <is>
          <t>verified_original_html</t>
        </is>
      </c>
      <c r="J112" t="inlineStr">
        <is>
          <t>https://www.shzfgjj.cn/html/newxxgk/ywsjtj/210399.html</t>
        </is>
      </c>
    </row>
    <row r="113">
      <c r="A113" t="n">
        <v>2022</v>
      </c>
      <c r="B113" t="n">
        <v>7</v>
      </c>
      <c r="C113" t="inlineStr">
        <is>
          <t>崇明</t>
        </is>
      </c>
      <c r="D113" t="n">
        <v>0.36</v>
      </c>
      <c r="E113" t="n">
        <v>7.07</v>
      </c>
      <c r="F113" t="n">
        <v>85827.86</v>
      </c>
      <c r="G113" t="n">
        <v>52948.3</v>
      </c>
      <c r="H113" t="inlineStr">
        <is>
          <t>2022-07-31</t>
        </is>
      </c>
      <c r="I113" t="inlineStr">
        <is>
          <t>verified_original_html</t>
        </is>
      </c>
      <c r="J113" t="inlineStr">
        <is>
          <t>https://www.shzfgjj.cn/html/newxxgk/ywsjtj/210399.html</t>
        </is>
      </c>
    </row>
    <row r="114">
      <c r="A114" t="n">
        <v>2022</v>
      </c>
      <c r="B114" t="n">
        <v>8</v>
      </c>
      <c r="C114" t="inlineStr">
        <is>
          <t>黄浦</t>
        </is>
      </c>
      <c r="D114" t="n">
        <v>3.44</v>
      </c>
      <c r="E114" t="n">
        <v>121.56</v>
      </c>
      <c r="F114" t="n">
        <v>2981749.92</v>
      </c>
      <c r="G114" t="n">
        <v>2607653.52</v>
      </c>
      <c r="H114" t="inlineStr">
        <is>
          <t>2022-08-31</t>
        </is>
      </c>
      <c r="I114" t="inlineStr">
        <is>
          <t>verified_original_html</t>
        </is>
      </c>
      <c r="J114" t="inlineStr">
        <is>
          <t>https://www.shzfgjj.cn/html/newxxgk/ywsjtj/210807.html</t>
        </is>
      </c>
    </row>
    <row r="115">
      <c r="A115" t="n">
        <v>2022</v>
      </c>
      <c r="B115" t="n">
        <v>8</v>
      </c>
      <c r="C115" t="inlineStr">
        <is>
          <t>徐汇</t>
        </is>
      </c>
      <c r="D115" t="n">
        <v>4.99</v>
      </c>
      <c r="E115" t="n">
        <v>90.42</v>
      </c>
      <c r="F115" t="n">
        <v>1675942.87</v>
      </c>
      <c r="G115" t="n">
        <v>937255.13</v>
      </c>
      <c r="H115" t="inlineStr">
        <is>
          <t>2022-08-31</t>
        </is>
      </c>
      <c r="I115" t="inlineStr">
        <is>
          <t>verified_original_html</t>
        </is>
      </c>
      <c r="J115" t="inlineStr">
        <is>
          <t>https://www.shzfgjj.cn/html/newxxgk/ywsjtj/210807.html</t>
        </is>
      </c>
    </row>
    <row r="116">
      <c r="A116" t="n">
        <v>2022</v>
      </c>
      <c r="B116" t="n">
        <v>8</v>
      </c>
      <c r="C116" t="inlineStr">
        <is>
          <t>长宁</t>
        </is>
      </c>
      <c r="D116" t="n">
        <v>2.47</v>
      </c>
      <c r="E116" t="n">
        <v>56.1</v>
      </c>
      <c r="F116" t="n">
        <v>996302.5</v>
      </c>
      <c r="G116" t="n">
        <v>569373.61</v>
      </c>
      <c r="H116" t="inlineStr">
        <is>
          <t>2022-08-31</t>
        </is>
      </c>
      <c r="I116" t="inlineStr">
        <is>
          <t>verified_original_html</t>
        </is>
      </c>
      <c r="J116" t="inlineStr">
        <is>
          <t>https://www.shzfgjj.cn/html/newxxgk/ywsjtj/210807.html</t>
        </is>
      </c>
    </row>
    <row r="117">
      <c r="A117" t="n">
        <v>2022</v>
      </c>
      <c r="B117" t="n">
        <v>8</v>
      </c>
      <c r="C117" t="inlineStr">
        <is>
          <t>静安</t>
        </is>
      </c>
      <c r="D117" t="n">
        <v>3.64</v>
      </c>
      <c r="E117" t="n">
        <v>65.81</v>
      </c>
      <c r="F117" t="n">
        <v>1051197.34</v>
      </c>
      <c r="G117" t="n">
        <v>589098.36</v>
      </c>
      <c r="H117" t="inlineStr">
        <is>
          <t>2022-08-31</t>
        </is>
      </c>
      <c r="I117" t="inlineStr">
        <is>
          <t>verified_original_html</t>
        </is>
      </c>
      <c r="J117" t="inlineStr">
        <is>
          <t>https://www.shzfgjj.cn/html/newxxgk/ywsjtj/210807.html</t>
        </is>
      </c>
    </row>
    <row r="118">
      <c r="A118" t="n">
        <v>2022</v>
      </c>
      <c r="B118" t="n">
        <v>8</v>
      </c>
      <c r="C118" t="inlineStr">
        <is>
          <t>普陀</t>
        </is>
      </c>
      <c r="D118" t="n">
        <v>3.45</v>
      </c>
      <c r="E118" t="n">
        <v>35.88</v>
      </c>
      <c r="F118" t="n">
        <v>441939.96</v>
      </c>
      <c r="G118" t="n">
        <v>241329.99</v>
      </c>
      <c r="H118" t="inlineStr">
        <is>
          <t>2022-08-31</t>
        </is>
      </c>
      <c r="I118" t="inlineStr">
        <is>
          <t>verified_original_html</t>
        </is>
      </c>
      <c r="J118" t="inlineStr">
        <is>
          <t>https://www.shzfgjj.cn/html/newxxgk/ywsjtj/210807.html</t>
        </is>
      </c>
    </row>
    <row r="119">
      <c r="A119" t="n">
        <v>2022</v>
      </c>
      <c r="B119" t="n">
        <v>8</v>
      </c>
      <c r="C119" t="inlineStr">
        <is>
          <t>虹口</t>
        </is>
      </c>
      <c r="D119" t="n">
        <v>2.29</v>
      </c>
      <c r="E119" t="n">
        <v>30.18</v>
      </c>
      <c r="F119" t="n">
        <v>436164.46</v>
      </c>
      <c r="G119" t="n">
        <v>258528.82</v>
      </c>
      <c r="H119" t="inlineStr">
        <is>
          <t>2022-08-31</t>
        </is>
      </c>
      <c r="I119" t="inlineStr">
        <is>
          <t>verified_original_html</t>
        </is>
      </c>
      <c r="J119" t="inlineStr">
        <is>
          <t>https://www.shzfgjj.cn/html/newxxgk/ywsjtj/210807.html</t>
        </is>
      </c>
    </row>
    <row r="120">
      <c r="A120" t="n">
        <v>2022</v>
      </c>
      <c r="B120" t="n">
        <v>8</v>
      </c>
      <c r="C120" t="inlineStr">
        <is>
          <t>杨浦</t>
        </is>
      </c>
      <c r="D120" t="n">
        <v>2.39</v>
      </c>
      <c r="E120" t="n">
        <v>34.45</v>
      </c>
      <c r="F120" t="n">
        <v>594381.79</v>
      </c>
      <c r="G120" t="n">
        <v>323974.89</v>
      </c>
      <c r="H120" t="inlineStr">
        <is>
          <t>2022-08-31</t>
        </is>
      </c>
      <c r="I120" t="inlineStr">
        <is>
          <t>verified_original_html</t>
        </is>
      </c>
      <c r="J120" t="inlineStr">
        <is>
          <t>https://www.shzfgjj.cn/html/newxxgk/ywsjtj/210807.html</t>
        </is>
      </c>
    </row>
    <row r="121">
      <c r="A121" t="n">
        <v>2022</v>
      </c>
      <c r="B121" t="n">
        <v>8</v>
      </c>
      <c r="C121" t="inlineStr">
        <is>
          <t>闵行</t>
        </is>
      </c>
      <c r="D121" t="n">
        <v>5.41</v>
      </c>
      <c r="E121" t="n">
        <v>57.33</v>
      </c>
      <c r="F121" t="n">
        <v>704422.67</v>
      </c>
      <c r="G121" t="n">
        <v>386695.08</v>
      </c>
      <c r="H121" t="inlineStr">
        <is>
          <t>2022-08-31</t>
        </is>
      </c>
      <c r="I121" t="inlineStr">
        <is>
          <t>verified_original_html</t>
        </is>
      </c>
      <c r="J121" t="inlineStr">
        <is>
          <t>https://www.shzfgjj.cn/html/newxxgk/ywsjtj/210807.html</t>
        </is>
      </c>
    </row>
    <row r="122">
      <c r="A122" t="n">
        <v>2022</v>
      </c>
      <c r="B122" t="n">
        <v>8</v>
      </c>
      <c r="C122" t="inlineStr">
        <is>
          <t>宝山</t>
        </is>
      </c>
      <c r="D122" t="n">
        <v>3.49</v>
      </c>
      <c r="E122" t="n">
        <v>40.16</v>
      </c>
      <c r="F122" t="n">
        <v>548484.4300000001</v>
      </c>
      <c r="G122" t="n">
        <v>317448.65</v>
      </c>
      <c r="H122" t="inlineStr">
        <is>
          <t>2022-08-31</t>
        </is>
      </c>
      <c r="I122" t="inlineStr">
        <is>
          <t>verified_original_html</t>
        </is>
      </c>
      <c r="J122" t="inlineStr">
        <is>
          <t>https://www.shzfgjj.cn/html/newxxgk/ywsjtj/210807.html</t>
        </is>
      </c>
    </row>
    <row r="123">
      <c r="A123" t="n">
        <v>2022</v>
      </c>
      <c r="B123" t="n">
        <v>8</v>
      </c>
      <c r="C123" t="inlineStr">
        <is>
          <t>嘉定</t>
        </is>
      </c>
      <c r="D123" t="n">
        <v>2.96</v>
      </c>
      <c r="E123" t="n">
        <v>39.18</v>
      </c>
      <c r="F123" t="n">
        <v>502972.9</v>
      </c>
      <c r="G123" t="n">
        <v>291705.78</v>
      </c>
      <c r="H123" t="inlineStr">
        <is>
          <t>2022-08-31</t>
        </is>
      </c>
      <c r="I123" t="inlineStr">
        <is>
          <t>verified_original_html</t>
        </is>
      </c>
      <c r="J123" t="inlineStr">
        <is>
          <t>https://www.shzfgjj.cn/html/newxxgk/ywsjtj/210807.html</t>
        </is>
      </c>
    </row>
    <row r="124">
      <c r="A124" t="n">
        <v>2022</v>
      </c>
      <c r="B124" t="n">
        <v>8</v>
      </c>
      <c r="C124" t="inlineStr">
        <is>
          <t>浦东</t>
        </is>
      </c>
      <c r="D124" t="n">
        <v>9.4</v>
      </c>
      <c r="E124" t="n">
        <v>163.13</v>
      </c>
      <c r="F124" t="n">
        <v>2607524.12</v>
      </c>
      <c r="G124" t="n">
        <v>1443582.33</v>
      </c>
      <c r="H124" t="inlineStr">
        <is>
          <t>2022-08-31</t>
        </is>
      </c>
      <c r="I124" t="inlineStr">
        <is>
          <t>verified_original_html</t>
        </is>
      </c>
      <c r="J124" t="inlineStr">
        <is>
          <t>https://www.shzfgjj.cn/html/newxxgk/ywsjtj/210807.html</t>
        </is>
      </c>
    </row>
    <row r="125">
      <c r="A125" t="n">
        <v>2022</v>
      </c>
      <c r="B125" t="n">
        <v>8</v>
      </c>
      <c r="C125" t="inlineStr">
        <is>
          <t>奉贤</t>
        </is>
      </c>
      <c r="D125" t="n">
        <v>1.92</v>
      </c>
      <c r="E125" t="n">
        <v>21.23</v>
      </c>
      <c r="F125" t="n">
        <v>232053.64</v>
      </c>
      <c r="G125" t="n">
        <v>127360.22</v>
      </c>
      <c r="H125" t="inlineStr">
        <is>
          <t>2022-08-31</t>
        </is>
      </c>
      <c r="I125" t="inlineStr">
        <is>
          <t>verified_original_html</t>
        </is>
      </c>
      <c r="J125" t="inlineStr">
        <is>
          <t>https://www.shzfgjj.cn/html/newxxgk/ywsjtj/210807.html</t>
        </is>
      </c>
    </row>
    <row r="126">
      <c r="A126" t="n">
        <v>2022</v>
      </c>
      <c r="B126" t="n">
        <v>8</v>
      </c>
      <c r="C126" t="inlineStr">
        <is>
          <t>松江</t>
        </is>
      </c>
      <c r="D126" t="n">
        <v>3.26</v>
      </c>
      <c r="E126" t="n">
        <v>39.91</v>
      </c>
      <c r="F126" t="n">
        <v>389153.14</v>
      </c>
      <c r="G126" t="n">
        <v>219470.53</v>
      </c>
      <c r="H126" t="inlineStr">
        <is>
          <t>2022-08-31</t>
        </is>
      </c>
      <c r="I126" t="inlineStr">
        <is>
          <t>verified_original_html</t>
        </is>
      </c>
      <c r="J126" t="inlineStr">
        <is>
          <t>https://www.shzfgjj.cn/html/newxxgk/ywsjtj/210807.html</t>
        </is>
      </c>
    </row>
    <row r="127">
      <c r="A127" t="n">
        <v>2022</v>
      </c>
      <c r="B127" t="n">
        <v>8</v>
      </c>
      <c r="C127" t="inlineStr">
        <is>
          <t>金山</t>
        </is>
      </c>
      <c r="D127" t="n">
        <v>1.41</v>
      </c>
      <c r="E127" t="n">
        <v>19.75</v>
      </c>
      <c r="F127" t="n">
        <v>230577.74</v>
      </c>
      <c r="G127" t="n">
        <v>135362.99</v>
      </c>
      <c r="H127" t="inlineStr">
        <is>
          <t>2022-08-31</t>
        </is>
      </c>
      <c r="I127" t="inlineStr">
        <is>
          <t>verified_original_html</t>
        </is>
      </c>
      <c r="J127" t="inlineStr">
        <is>
          <t>https://www.shzfgjj.cn/html/newxxgk/ywsjtj/210807.html</t>
        </is>
      </c>
    </row>
    <row r="128">
      <c r="A128" t="n">
        <v>2022</v>
      </c>
      <c r="B128" t="n">
        <v>8</v>
      </c>
      <c r="C128" t="inlineStr">
        <is>
          <t>青浦</t>
        </is>
      </c>
      <c r="D128" t="n">
        <v>1.75</v>
      </c>
      <c r="E128" t="n">
        <v>26.28</v>
      </c>
      <c r="F128" t="n">
        <v>281395.22</v>
      </c>
      <c r="G128" t="n">
        <v>157449.82</v>
      </c>
      <c r="H128" t="inlineStr">
        <is>
          <t>2022-08-31</t>
        </is>
      </c>
      <c r="I128" t="inlineStr">
        <is>
          <t>verified_original_html</t>
        </is>
      </c>
      <c r="J128" t="inlineStr">
        <is>
          <t>https://www.shzfgjj.cn/html/newxxgk/ywsjtj/210807.html</t>
        </is>
      </c>
    </row>
    <row r="129">
      <c r="A129" t="n">
        <v>2022</v>
      </c>
      <c r="B129" t="n">
        <v>8</v>
      </c>
      <c r="C129" t="inlineStr">
        <is>
          <t>崇明</t>
        </is>
      </c>
      <c r="D129" t="n">
        <v>0.36</v>
      </c>
      <c r="E129" t="n">
        <v>7.17</v>
      </c>
      <c r="F129" t="n">
        <v>99112.48</v>
      </c>
      <c r="G129" t="n">
        <v>60547.34</v>
      </c>
      <c r="H129" t="inlineStr">
        <is>
          <t>2022-08-31</t>
        </is>
      </c>
      <c r="I129" t="inlineStr">
        <is>
          <t>verified_original_html</t>
        </is>
      </c>
      <c r="J129" t="inlineStr">
        <is>
          <t>https://www.shzfgjj.cn/html/newxxgk/ywsjtj/210807.html</t>
        </is>
      </c>
    </row>
    <row r="130">
      <c r="A130" t="n">
        <v>2022</v>
      </c>
      <c r="B130" t="n">
        <v>9</v>
      </c>
      <c r="C130" t="inlineStr">
        <is>
          <t>黄浦</t>
        </is>
      </c>
      <c r="D130" t="n">
        <v>3.45</v>
      </c>
      <c r="E130" t="n">
        <v>122.02</v>
      </c>
      <c r="F130" t="n">
        <v>3410821.46</v>
      </c>
      <c r="G130" t="n">
        <v>3124156.93</v>
      </c>
      <c r="H130" t="inlineStr">
        <is>
          <t>2022-09-30</t>
        </is>
      </c>
      <c r="I130" t="inlineStr">
        <is>
          <t>verified_original_html</t>
        </is>
      </c>
      <c r="J130" t="inlineStr">
        <is>
          <t>https://www.shzfgjj.cn/html/newxxgk/ywsjtj/211119.html</t>
        </is>
      </c>
    </row>
    <row r="131">
      <c r="A131" t="n">
        <v>2022</v>
      </c>
      <c r="B131" t="n">
        <v>9</v>
      </c>
      <c r="C131" t="inlineStr">
        <is>
          <t>徐汇</t>
        </is>
      </c>
      <c r="D131" t="n">
        <v>5.02</v>
      </c>
      <c r="E131" t="n">
        <v>90.79000000000001</v>
      </c>
      <c r="F131" t="n">
        <v>1915360.72</v>
      </c>
      <c r="G131" t="n">
        <v>1123137.06</v>
      </c>
      <c r="H131" t="inlineStr">
        <is>
          <t>2022-09-30</t>
        </is>
      </c>
      <c r="I131" t="inlineStr">
        <is>
          <t>verified_original_html</t>
        </is>
      </c>
      <c r="J131" t="inlineStr">
        <is>
          <t>https://www.shzfgjj.cn/html/newxxgk/ywsjtj/211119.html</t>
        </is>
      </c>
    </row>
    <row r="132">
      <c r="A132" t="n">
        <v>2022</v>
      </c>
      <c r="B132" t="n">
        <v>9</v>
      </c>
      <c r="C132" t="inlineStr">
        <is>
          <t>长宁</t>
        </is>
      </c>
      <c r="D132" t="n">
        <v>2.47</v>
      </c>
      <c r="E132" t="n">
        <v>56.07</v>
      </c>
      <c r="F132" t="n">
        <v>1128832.36</v>
      </c>
      <c r="G132" t="n">
        <v>678320.1899999999</v>
      </c>
      <c r="H132" t="inlineStr">
        <is>
          <t>2022-09-30</t>
        </is>
      </c>
      <c r="I132" t="inlineStr">
        <is>
          <t>verified_original_html</t>
        </is>
      </c>
      <c r="J132" t="inlineStr">
        <is>
          <t>https://www.shzfgjj.cn/html/newxxgk/ywsjtj/211119.html</t>
        </is>
      </c>
    </row>
    <row r="133">
      <c r="A133" t="n">
        <v>2022</v>
      </c>
      <c r="B133" t="n">
        <v>9</v>
      </c>
      <c r="C133" t="inlineStr">
        <is>
          <t>静安</t>
        </is>
      </c>
      <c r="D133" t="n">
        <v>3.67</v>
      </c>
      <c r="E133" t="n">
        <v>66.01000000000001</v>
      </c>
      <c r="F133" t="n">
        <v>1193930.46</v>
      </c>
      <c r="G133" t="n">
        <v>708747.26</v>
      </c>
      <c r="H133" t="inlineStr">
        <is>
          <t>2022-09-30</t>
        </is>
      </c>
      <c r="I133" t="inlineStr">
        <is>
          <t>verified_original_html</t>
        </is>
      </c>
      <c r="J133" t="inlineStr">
        <is>
          <t>https://www.shzfgjj.cn/html/newxxgk/ywsjtj/211119.html</t>
        </is>
      </c>
    </row>
    <row r="134">
      <c r="A134" t="n">
        <v>2022</v>
      </c>
      <c r="B134" t="n">
        <v>9</v>
      </c>
      <c r="C134" t="inlineStr">
        <is>
          <t>普陀</t>
        </is>
      </c>
      <c r="D134" t="n">
        <v>3.46</v>
      </c>
      <c r="E134" t="n">
        <v>35.89</v>
      </c>
      <c r="F134" t="n">
        <v>501756.6</v>
      </c>
      <c r="G134" t="n">
        <v>288244.54</v>
      </c>
      <c r="H134" t="inlineStr">
        <is>
          <t>2022-09-30</t>
        </is>
      </c>
      <c r="I134" t="inlineStr">
        <is>
          <t>verified_original_html</t>
        </is>
      </c>
      <c r="J134" t="inlineStr">
        <is>
          <t>https://www.shzfgjj.cn/html/newxxgk/ywsjtj/211119.html</t>
        </is>
      </c>
    </row>
    <row r="135">
      <c r="A135" t="n">
        <v>2022</v>
      </c>
      <c r="B135" t="n">
        <v>9</v>
      </c>
      <c r="C135" t="inlineStr">
        <is>
          <t>虹口</t>
        </is>
      </c>
      <c r="D135" t="n">
        <v>2.29</v>
      </c>
      <c r="E135" t="n">
        <v>30.08</v>
      </c>
      <c r="F135" t="n">
        <v>496187.87</v>
      </c>
      <c r="G135" t="n">
        <v>311170.68</v>
      </c>
      <c r="H135" t="inlineStr">
        <is>
          <t>2022-09-30</t>
        </is>
      </c>
      <c r="I135" t="inlineStr">
        <is>
          <t>verified_original_html</t>
        </is>
      </c>
      <c r="J135" t="inlineStr">
        <is>
          <t>https://www.shzfgjj.cn/html/newxxgk/ywsjtj/211119.html</t>
        </is>
      </c>
    </row>
    <row r="136">
      <c r="A136" t="n">
        <v>2022</v>
      </c>
      <c r="B136" t="n">
        <v>9</v>
      </c>
      <c r="C136" t="inlineStr">
        <is>
          <t>杨浦</t>
        </is>
      </c>
      <c r="D136" t="n">
        <v>2.4</v>
      </c>
      <c r="E136" t="n">
        <v>34.31</v>
      </c>
      <c r="F136" t="n">
        <v>675143.95</v>
      </c>
      <c r="G136" t="n">
        <v>385906.9</v>
      </c>
      <c r="H136" t="inlineStr">
        <is>
          <t>2022-09-30</t>
        </is>
      </c>
      <c r="I136" t="inlineStr">
        <is>
          <t>verified_original_html</t>
        </is>
      </c>
      <c r="J136" t="inlineStr">
        <is>
          <t>https://www.shzfgjj.cn/html/newxxgk/ywsjtj/211119.html</t>
        </is>
      </c>
    </row>
    <row r="137">
      <c r="A137" t="n">
        <v>2022</v>
      </c>
      <c r="B137" t="n">
        <v>9</v>
      </c>
      <c r="C137" t="inlineStr">
        <is>
          <t>闵行</t>
        </is>
      </c>
      <c r="D137" t="n">
        <v>5.5</v>
      </c>
      <c r="E137" t="n">
        <v>57.64</v>
      </c>
      <c r="F137" t="n">
        <v>801923.58</v>
      </c>
      <c r="G137" t="n">
        <v>463599.21</v>
      </c>
      <c r="H137" t="inlineStr">
        <is>
          <t>2022-09-30</t>
        </is>
      </c>
      <c r="I137" t="inlineStr">
        <is>
          <t>verified_original_html</t>
        </is>
      </c>
      <c r="J137" t="inlineStr">
        <is>
          <t>https://www.shzfgjj.cn/html/newxxgk/ywsjtj/211119.html</t>
        </is>
      </c>
    </row>
    <row r="138">
      <c r="A138" t="n">
        <v>2022</v>
      </c>
      <c r="B138" t="n">
        <v>9</v>
      </c>
      <c r="C138" t="inlineStr">
        <is>
          <t>宝山</t>
        </is>
      </c>
      <c r="D138" t="n">
        <v>3.52</v>
      </c>
      <c r="E138" t="n">
        <v>40.15</v>
      </c>
      <c r="F138" t="n">
        <v>622504.27</v>
      </c>
      <c r="G138" t="n">
        <v>384854.68</v>
      </c>
      <c r="H138" t="inlineStr">
        <is>
          <t>2022-09-30</t>
        </is>
      </c>
      <c r="I138" t="inlineStr">
        <is>
          <t>verified_original_html</t>
        </is>
      </c>
      <c r="J138" t="inlineStr">
        <is>
          <t>https://www.shzfgjj.cn/html/newxxgk/ywsjtj/211119.html</t>
        </is>
      </c>
    </row>
    <row r="139">
      <c r="A139" t="n">
        <v>2022</v>
      </c>
      <c r="B139" t="n">
        <v>9</v>
      </c>
      <c r="C139" t="inlineStr">
        <is>
          <t>嘉定</t>
        </is>
      </c>
      <c r="D139" t="n">
        <v>2.99</v>
      </c>
      <c r="E139" t="n">
        <v>39.59</v>
      </c>
      <c r="F139" t="n">
        <v>577317.3</v>
      </c>
      <c r="G139" t="n">
        <v>349701.4</v>
      </c>
      <c r="H139" t="inlineStr">
        <is>
          <t>2022-09-30</t>
        </is>
      </c>
      <c r="I139" t="inlineStr">
        <is>
          <t>verified_original_html</t>
        </is>
      </c>
      <c r="J139" t="inlineStr">
        <is>
          <t>https://www.shzfgjj.cn/html/newxxgk/ywsjtj/211119.html</t>
        </is>
      </c>
    </row>
    <row r="140">
      <c r="A140" t="n">
        <v>2022</v>
      </c>
      <c r="B140" t="n">
        <v>9</v>
      </c>
      <c r="C140" t="inlineStr">
        <is>
          <t>浦东</t>
        </is>
      </c>
      <c r="D140" t="n">
        <v>9.449999999999999</v>
      </c>
      <c r="E140" t="n">
        <v>163.74</v>
      </c>
      <c r="F140" t="n">
        <v>2973564.85</v>
      </c>
      <c r="G140" t="n">
        <v>1732151.38</v>
      </c>
      <c r="H140" t="inlineStr">
        <is>
          <t>2022-09-30</t>
        </is>
      </c>
      <c r="I140" t="inlineStr">
        <is>
          <t>verified_original_html</t>
        </is>
      </c>
      <c r="J140" t="inlineStr">
        <is>
          <t>https://www.shzfgjj.cn/html/newxxgk/ywsjtj/211119.html</t>
        </is>
      </c>
    </row>
    <row r="141">
      <c r="A141" t="n">
        <v>2022</v>
      </c>
      <c r="B141" t="n">
        <v>9</v>
      </c>
      <c r="C141" t="inlineStr">
        <is>
          <t>奉贤</t>
        </is>
      </c>
      <c r="D141" t="n">
        <v>1.94</v>
      </c>
      <c r="E141" t="n">
        <v>21.33</v>
      </c>
      <c r="F141" t="n">
        <v>264331.11</v>
      </c>
      <c r="G141" t="n">
        <v>155541.84</v>
      </c>
      <c r="H141" t="inlineStr">
        <is>
          <t>2022-09-30</t>
        </is>
      </c>
      <c r="I141" t="inlineStr">
        <is>
          <t>verified_original_html</t>
        </is>
      </c>
      <c r="J141" t="inlineStr">
        <is>
          <t>https://www.shzfgjj.cn/html/newxxgk/ywsjtj/211119.html</t>
        </is>
      </c>
    </row>
    <row r="142">
      <c r="A142" t="n">
        <v>2022</v>
      </c>
      <c r="B142" t="n">
        <v>9</v>
      </c>
      <c r="C142" t="inlineStr">
        <is>
          <t>松江</t>
        </is>
      </c>
      <c r="D142" t="n">
        <v>3.29</v>
      </c>
      <c r="E142" t="n">
        <v>40.17</v>
      </c>
      <c r="F142" t="n">
        <v>444548.33</v>
      </c>
      <c r="G142" t="n">
        <v>265267.83</v>
      </c>
      <c r="H142" t="inlineStr">
        <is>
          <t>2022-09-30</t>
        </is>
      </c>
      <c r="I142" t="inlineStr">
        <is>
          <t>verified_original_html</t>
        </is>
      </c>
      <c r="J142" t="inlineStr">
        <is>
          <t>https://www.shzfgjj.cn/html/newxxgk/ywsjtj/211119.html</t>
        </is>
      </c>
    </row>
    <row r="143">
      <c r="A143" t="n">
        <v>2022</v>
      </c>
      <c r="B143" t="n">
        <v>9</v>
      </c>
      <c r="C143" t="inlineStr">
        <is>
          <t>金山</t>
        </is>
      </c>
      <c r="D143" t="n">
        <v>1.42</v>
      </c>
      <c r="E143" t="n">
        <v>19.74</v>
      </c>
      <c r="F143" t="n">
        <v>261762.88</v>
      </c>
      <c r="G143" t="n">
        <v>166832.04</v>
      </c>
      <c r="H143" t="inlineStr">
        <is>
          <t>2022-09-30</t>
        </is>
      </c>
      <c r="I143" t="inlineStr">
        <is>
          <t>verified_original_html</t>
        </is>
      </c>
      <c r="J143" t="inlineStr">
        <is>
          <t>https://www.shzfgjj.cn/html/newxxgk/ywsjtj/211119.html</t>
        </is>
      </c>
    </row>
    <row r="144">
      <c r="A144" t="n">
        <v>2022</v>
      </c>
      <c r="B144" t="n">
        <v>9</v>
      </c>
      <c r="C144" t="inlineStr">
        <is>
          <t>青浦</t>
        </is>
      </c>
      <c r="D144" t="n">
        <v>1.77</v>
      </c>
      <c r="E144" t="n">
        <v>26.33</v>
      </c>
      <c r="F144" t="n">
        <v>320153.34</v>
      </c>
      <c r="G144" t="n">
        <v>189507.57</v>
      </c>
      <c r="H144" t="inlineStr">
        <is>
          <t>2022-09-30</t>
        </is>
      </c>
      <c r="I144" t="inlineStr">
        <is>
          <t>verified_original_html</t>
        </is>
      </c>
      <c r="J144" t="inlineStr">
        <is>
          <t>https://www.shzfgjj.cn/html/newxxgk/ywsjtj/211119.html</t>
        </is>
      </c>
    </row>
    <row r="145">
      <c r="A145" t="n">
        <v>2022</v>
      </c>
      <c r="B145" t="n">
        <v>9</v>
      </c>
      <c r="C145" t="inlineStr">
        <is>
          <t>崇明</t>
        </is>
      </c>
      <c r="D145" t="n">
        <v>0.36</v>
      </c>
      <c r="E145" t="n">
        <v>7.21</v>
      </c>
      <c r="F145" t="n">
        <v>112279.26</v>
      </c>
      <c r="G145" t="n">
        <v>74734.75999999999</v>
      </c>
      <c r="H145" t="inlineStr">
        <is>
          <t>2022-09-30</t>
        </is>
      </c>
      <c r="I145" t="inlineStr">
        <is>
          <t>verified_original_html</t>
        </is>
      </c>
      <c r="J145" t="inlineStr">
        <is>
          <t>https://www.shzfgjj.cn/html/newxxgk/ywsjtj/211119.html</t>
        </is>
      </c>
    </row>
    <row r="146">
      <c r="A146" t="n">
        <v>2022</v>
      </c>
      <c r="B146" t="n">
        <v>10</v>
      </c>
      <c r="C146" t="inlineStr">
        <is>
          <t>黄浦</t>
        </is>
      </c>
      <c r="D146" t="n">
        <v>3.45</v>
      </c>
      <c r="E146" t="n">
        <v>122.02</v>
      </c>
      <c r="F146" t="n">
        <v>3812536.37</v>
      </c>
      <c r="G146" t="n">
        <v>3458563.13</v>
      </c>
      <c r="H146" t="inlineStr">
        <is>
          <t>2022-10-31</t>
        </is>
      </c>
      <c r="I146" t="inlineStr">
        <is>
          <t>verified_original_html</t>
        </is>
      </c>
      <c r="J146" t="inlineStr">
        <is>
          <t>https://www.shzfgjj.cn/html/newxxgk/ywsjtj/211592.html</t>
        </is>
      </c>
    </row>
    <row r="147">
      <c r="A147" t="n">
        <v>2022</v>
      </c>
      <c r="B147" t="n">
        <v>10</v>
      </c>
      <c r="C147" t="inlineStr">
        <is>
          <t>徐汇</t>
        </is>
      </c>
      <c r="D147" t="n">
        <v>5.06</v>
      </c>
      <c r="E147" t="n">
        <v>90.81</v>
      </c>
      <c r="F147" t="n">
        <v>2142874.85</v>
      </c>
      <c r="G147" t="n">
        <v>1243128.73</v>
      </c>
      <c r="H147" t="inlineStr">
        <is>
          <t>2022-10-31</t>
        </is>
      </c>
      <c r="I147" t="inlineStr">
        <is>
          <t>verified_original_html</t>
        </is>
      </c>
      <c r="J147" t="inlineStr">
        <is>
          <t>https://www.shzfgjj.cn/html/newxxgk/ywsjtj/211592.html</t>
        </is>
      </c>
    </row>
    <row r="148">
      <c r="A148" t="n">
        <v>2022</v>
      </c>
      <c r="B148" t="n">
        <v>10</v>
      </c>
      <c r="C148" t="inlineStr">
        <is>
          <t>长宁</t>
        </is>
      </c>
      <c r="D148" t="n">
        <v>2.48</v>
      </c>
      <c r="E148" t="n">
        <v>55.98</v>
      </c>
      <c r="F148" t="n">
        <v>1254940.74</v>
      </c>
      <c r="G148" t="n">
        <v>748146.3100000001</v>
      </c>
      <c r="H148" t="inlineStr">
        <is>
          <t>2022-10-31</t>
        </is>
      </c>
      <c r="I148" t="inlineStr">
        <is>
          <t>verified_original_html</t>
        </is>
      </c>
      <c r="J148" t="inlineStr">
        <is>
          <t>https://www.shzfgjj.cn/html/newxxgk/ywsjtj/211592.html</t>
        </is>
      </c>
    </row>
    <row r="149">
      <c r="A149" t="n">
        <v>2022</v>
      </c>
      <c r="B149" t="n">
        <v>10</v>
      </c>
      <c r="C149" t="inlineStr">
        <is>
          <t>静安</t>
        </is>
      </c>
      <c r="D149" t="n">
        <v>3.68</v>
      </c>
      <c r="E149" t="n">
        <v>65.91</v>
      </c>
      <c r="F149" t="n">
        <v>1332713.13</v>
      </c>
      <c r="G149" t="n">
        <v>786783</v>
      </c>
      <c r="H149" t="inlineStr">
        <is>
          <t>2022-10-31</t>
        </is>
      </c>
      <c r="I149" t="inlineStr">
        <is>
          <t>verified_original_html</t>
        </is>
      </c>
      <c r="J149" t="inlineStr">
        <is>
          <t>https://www.shzfgjj.cn/html/newxxgk/ywsjtj/211592.html</t>
        </is>
      </c>
    </row>
    <row r="150">
      <c r="A150" t="n">
        <v>2022</v>
      </c>
      <c r="B150" t="n">
        <v>10</v>
      </c>
      <c r="C150" t="inlineStr">
        <is>
          <t>普陀</t>
        </is>
      </c>
      <c r="D150" t="n">
        <v>3.47</v>
      </c>
      <c r="E150" t="n">
        <v>35.88</v>
      </c>
      <c r="F150" t="n">
        <v>560377.9</v>
      </c>
      <c r="G150" t="n">
        <v>319606.36</v>
      </c>
      <c r="H150" t="inlineStr">
        <is>
          <t>2022-10-31</t>
        </is>
      </c>
      <c r="I150" t="inlineStr">
        <is>
          <t>verified_original_html</t>
        </is>
      </c>
      <c r="J150" t="inlineStr">
        <is>
          <t>https://www.shzfgjj.cn/html/newxxgk/ywsjtj/211592.html</t>
        </is>
      </c>
    </row>
    <row r="151">
      <c r="A151" t="n">
        <v>2022</v>
      </c>
      <c r="B151" t="n">
        <v>10</v>
      </c>
      <c r="C151" t="inlineStr">
        <is>
          <t>虹口</t>
        </is>
      </c>
      <c r="D151" t="n">
        <v>2.31</v>
      </c>
      <c r="E151" t="n">
        <v>30.14</v>
      </c>
      <c r="F151" t="n">
        <v>554195.86</v>
      </c>
      <c r="G151" t="n">
        <v>343918.92</v>
      </c>
      <c r="H151" t="inlineStr">
        <is>
          <t>2022-10-31</t>
        </is>
      </c>
      <c r="I151" t="inlineStr">
        <is>
          <t>verified_original_html</t>
        </is>
      </c>
      <c r="J151" t="inlineStr">
        <is>
          <t>https://www.shzfgjj.cn/html/newxxgk/ywsjtj/211592.html</t>
        </is>
      </c>
    </row>
    <row r="152">
      <c r="A152" t="n">
        <v>2022</v>
      </c>
      <c r="B152" t="n">
        <v>10</v>
      </c>
      <c r="C152" t="inlineStr">
        <is>
          <t>杨浦</t>
        </is>
      </c>
      <c r="D152" t="n">
        <v>2.41</v>
      </c>
      <c r="E152" t="n">
        <v>34.33</v>
      </c>
      <c r="F152" t="n">
        <v>752707.39</v>
      </c>
      <c r="G152" t="n">
        <v>427674.73</v>
      </c>
      <c r="H152" t="inlineStr">
        <is>
          <t>2022-10-31</t>
        </is>
      </c>
      <c r="I152" t="inlineStr">
        <is>
          <t>verified_original_html</t>
        </is>
      </c>
      <c r="J152" t="inlineStr">
        <is>
          <t>https://www.shzfgjj.cn/html/newxxgk/ywsjtj/211592.html</t>
        </is>
      </c>
    </row>
    <row r="153">
      <c r="A153" t="n">
        <v>2022</v>
      </c>
      <c r="B153" t="n">
        <v>10</v>
      </c>
      <c r="C153" t="inlineStr">
        <is>
          <t>闵行</t>
        </is>
      </c>
      <c r="D153" t="n">
        <v>5.59</v>
      </c>
      <c r="E153" t="n">
        <v>57.93</v>
      </c>
      <c r="F153" t="n">
        <v>896854.49</v>
      </c>
      <c r="G153" t="n">
        <v>511888.99</v>
      </c>
      <c r="H153" t="inlineStr">
        <is>
          <t>2022-10-31</t>
        </is>
      </c>
      <c r="I153" t="inlineStr">
        <is>
          <t>verified_original_html</t>
        </is>
      </c>
      <c r="J153" t="inlineStr">
        <is>
          <t>https://www.shzfgjj.cn/html/newxxgk/ywsjtj/211592.html</t>
        </is>
      </c>
    </row>
    <row r="154">
      <c r="A154" t="n">
        <v>2022</v>
      </c>
      <c r="B154" t="n">
        <v>10</v>
      </c>
      <c r="C154" t="inlineStr">
        <is>
          <t>宝山</t>
        </is>
      </c>
      <c r="D154" t="n">
        <v>3.54</v>
      </c>
      <c r="E154" t="n">
        <v>40.53</v>
      </c>
      <c r="F154" t="n">
        <v>695888.85</v>
      </c>
      <c r="G154" t="n">
        <v>424610.6</v>
      </c>
      <c r="H154" t="inlineStr">
        <is>
          <t>2022-10-31</t>
        </is>
      </c>
      <c r="I154" t="inlineStr">
        <is>
          <t>verified_original_html</t>
        </is>
      </c>
      <c r="J154" t="inlineStr">
        <is>
          <t>https://www.shzfgjj.cn/html/newxxgk/ywsjtj/211592.html</t>
        </is>
      </c>
    </row>
    <row r="155">
      <c r="A155" t="n">
        <v>2022</v>
      </c>
      <c r="B155" t="n">
        <v>10</v>
      </c>
      <c r="C155" t="inlineStr">
        <is>
          <t>嘉定</t>
        </is>
      </c>
      <c r="D155" t="n">
        <v>3.01</v>
      </c>
      <c r="E155" t="n">
        <v>39.77</v>
      </c>
      <c r="F155" t="n">
        <v>651011.24</v>
      </c>
      <c r="G155" t="n">
        <v>387402.59</v>
      </c>
      <c r="H155" t="inlineStr">
        <is>
          <t>2022-10-31</t>
        </is>
      </c>
      <c r="I155" t="inlineStr">
        <is>
          <t>verified_original_html</t>
        </is>
      </c>
      <c r="J155" t="inlineStr">
        <is>
          <t>https://www.shzfgjj.cn/html/newxxgk/ywsjtj/211592.html</t>
        </is>
      </c>
    </row>
    <row r="156">
      <c r="A156" t="n">
        <v>2022</v>
      </c>
      <c r="B156" t="n">
        <v>10</v>
      </c>
      <c r="C156" t="inlineStr">
        <is>
          <t>浦东</t>
        </is>
      </c>
      <c r="D156" t="n">
        <v>9.51</v>
      </c>
      <c r="E156" t="n">
        <v>163.82</v>
      </c>
      <c r="F156" t="n">
        <v>3328873.09</v>
      </c>
      <c r="G156" t="n">
        <v>1915510.86</v>
      </c>
      <c r="H156" t="inlineStr">
        <is>
          <t>2022-10-31</t>
        </is>
      </c>
      <c r="I156" t="inlineStr">
        <is>
          <t>verified_original_html</t>
        </is>
      </c>
      <c r="J156" t="inlineStr">
        <is>
          <t>https://www.shzfgjj.cn/html/newxxgk/ywsjtj/211592.html</t>
        </is>
      </c>
    </row>
    <row r="157">
      <c r="A157" t="n">
        <v>2022</v>
      </c>
      <c r="B157" t="n">
        <v>10</v>
      </c>
      <c r="C157" t="inlineStr">
        <is>
          <t>奉贤</t>
        </is>
      </c>
      <c r="D157" t="n">
        <v>1.97</v>
      </c>
      <c r="E157" t="n">
        <v>21.44</v>
      </c>
      <c r="F157" t="n">
        <v>295908.53</v>
      </c>
      <c r="G157" t="n">
        <v>170685.02</v>
      </c>
      <c r="H157" t="inlineStr">
        <is>
          <t>2022-10-31</t>
        </is>
      </c>
      <c r="I157" t="inlineStr">
        <is>
          <t>verified_original_html</t>
        </is>
      </c>
      <c r="J157" t="inlineStr">
        <is>
          <t>https://www.shzfgjj.cn/html/newxxgk/ywsjtj/211592.html</t>
        </is>
      </c>
    </row>
    <row r="158">
      <c r="A158" t="n">
        <v>2022</v>
      </c>
      <c r="B158" t="n">
        <v>10</v>
      </c>
      <c r="C158" t="inlineStr">
        <is>
          <t>松江</t>
        </is>
      </c>
      <c r="D158" t="n">
        <v>3.31</v>
      </c>
      <c r="E158" t="n">
        <v>40.21</v>
      </c>
      <c r="F158" t="n">
        <v>498673.98</v>
      </c>
      <c r="G158" t="n">
        <v>293306.04</v>
      </c>
      <c r="H158" t="inlineStr">
        <is>
          <t>2022-10-31</t>
        </is>
      </c>
      <c r="I158" t="inlineStr">
        <is>
          <t>verified_original_html</t>
        </is>
      </c>
      <c r="J158" t="inlineStr">
        <is>
          <t>https://www.shzfgjj.cn/html/newxxgk/ywsjtj/211592.html</t>
        </is>
      </c>
    </row>
    <row r="159">
      <c r="A159" t="n">
        <v>2022</v>
      </c>
      <c r="B159" t="n">
        <v>10</v>
      </c>
      <c r="C159" t="inlineStr">
        <is>
          <t>金山</t>
        </is>
      </c>
      <c r="D159" t="n">
        <v>1.43</v>
      </c>
      <c r="E159" t="n">
        <v>19.89</v>
      </c>
      <c r="F159" t="n">
        <v>292655.97</v>
      </c>
      <c r="G159" t="n">
        <v>183176.06</v>
      </c>
      <c r="H159" t="inlineStr">
        <is>
          <t>2022-10-31</t>
        </is>
      </c>
      <c r="I159" t="inlineStr">
        <is>
          <t>verified_original_html</t>
        </is>
      </c>
      <c r="J159" t="inlineStr">
        <is>
          <t>https://www.shzfgjj.cn/html/newxxgk/ywsjtj/211592.html</t>
        </is>
      </c>
    </row>
    <row r="160">
      <c r="A160" t="n">
        <v>2022</v>
      </c>
      <c r="B160" t="n">
        <v>10</v>
      </c>
      <c r="C160" t="inlineStr">
        <is>
          <t>青浦</t>
        </is>
      </c>
      <c r="D160" t="n">
        <v>1.78</v>
      </c>
      <c r="E160" t="n">
        <v>26.47</v>
      </c>
      <c r="F160" t="n">
        <v>358124.38</v>
      </c>
      <c r="G160" t="n">
        <v>208195.53</v>
      </c>
      <c r="H160" t="inlineStr">
        <is>
          <t>2022-10-31</t>
        </is>
      </c>
      <c r="I160" t="inlineStr">
        <is>
          <t>verified_original_html</t>
        </is>
      </c>
      <c r="J160" t="inlineStr">
        <is>
          <t>https://www.shzfgjj.cn/html/newxxgk/ywsjtj/211592.html</t>
        </is>
      </c>
    </row>
    <row r="161">
      <c r="A161" t="n">
        <v>2022</v>
      </c>
      <c r="B161" t="n">
        <v>10</v>
      </c>
      <c r="C161" t="inlineStr">
        <is>
          <t>崇明</t>
        </is>
      </c>
      <c r="D161" t="n">
        <v>0.37</v>
      </c>
      <c r="E161" t="n">
        <v>7.25</v>
      </c>
      <c r="F161" t="n">
        <v>125424.38</v>
      </c>
      <c r="G161" t="n">
        <v>81632.69</v>
      </c>
      <c r="H161" t="inlineStr">
        <is>
          <t>2022-10-31</t>
        </is>
      </c>
      <c r="I161" t="inlineStr">
        <is>
          <t>verified_original_html</t>
        </is>
      </c>
      <c r="J161" t="inlineStr">
        <is>
          <t>https://www.shzfgjj.cn/html/newxxgk/ywsjtj/211592.html</t>
        </is>
      </c>
    </row>
    <row r="162">
      <c r="A162" t="n">
        <v>2022</v>
      </c>
      <c r="B162" t="n">
        <v>11</v>
      </c>
      <c r="C162" t="inlineStr">
        <is>
          <t>黄浦</t>
        </is>
      </c>
      <c r="D162" t="n">
        <v>3.46</v>
      </c>
      <c r="E162" t="n">
        <v>121.92</v>
      </c>
      <c r="F162" t="n">
        <v>4227348.95</v>
      </c>
      <c r="G162" t="n">
        <v>3811459.2</v>
      </c>
      <c r="H162" t="inlineStr">
        <is>
          <t>2022-11-30</t>
        </is>
      </c>
      <c r="I162" t="inlineStr">
        <is>
          <t>verified_original_html</t>
        </is>
      </c>
      <c r="J162" t="inlineStr">
        <is>
          <t>https://www.shzfgjj.cn/html/newxxgk/ywsjtj/212228.html</t>
        </is>
      </c>
    </row>
    <row r="163">
      <c r="A163" t="n">
        <v>2022</v>
      </c>
      <c r="B163" t="n">
        <v>11</v>
      </c>
      <c r="C163" t="inlineStr">
        <is>
          <t>徐汇</t>
        </is>
      </c>
      <c r="D163" t="n">
        <v>5.09</v>
      </c>
      <c r="E163" t="n">
        <v>91.14</v>
      </c>
      <c r="F163" t="n">
        <v>2372923.55</v>
      </c>
      <c r="G163" t="n">
        <v>1365751.57</v>
      </c>
      <c r="H163" t="inlineStr">
        <is>
          <t>2022-11-30</t>
        </is>
      </c>
      <c r="I163" t="inlineStr">
        <is>
          <t>verified_original_html</t>
        </is>
      </c>
      <c r="J163" t="inlineStr">
        <is>
          <t>https://www.shzfgjj.cn/html/newxxgk/ywsjtj/212228.html</t>
        </is>
      </c>
    </row>
    <row r="164">
      <c r="A164" t="n">
        <v>2022</v>
      </c>
      <c r="B164" t="n">
        <v>11</v>
      </c>
      <c r="C164" t="inlineStr">
        <is>
          <t>长宁</t>
        </is>
      </c>
      <c r="D164" t="n">
        <v>2.48</v>
      </c>
      <c r="E164" t="n">
        <v>56.04</v>
      </c>
      <c r="F164" t="n">
        <v>1385264.5</v>
      </c>
      <c r="G164" t="n">
        <v>819212.27</v>
      </c>
      <c r="H164" t="inlineStr">
        <is>
          <t>2022-11-30</t>
        </is>
      </c>
      <c r="I164" t="inlineStr">
        <is>
          <t>verified_original_html</t>
        </is>
      </c>
      <c r="J164" t="inlineStr">
        <is>
          <t>https://www.shzfgjj.cn/html/newxxgk/ywsjtj/212228.html</t>
        </is>
      </c>
    </row>
    <row r="165">
      <c r="A165" t="n">
        <v>2022</v>
      </c>
      <c r="B165" t="n">
        <v>11</v>
      </c>
      <c r="C165" t="inlineStr">
        <is>
          <t>静安</t>
        </is>
      </c>
      <c r="D165" t="n">
        <v>3.69</v>
      </c>
      <c r="E165" t="n">
        <v>65.55</v>
      </c>
      <c r="F165" t="n">
        <v>1474697.84</v>
      </c>
      <c r="G165" t="n">
        <v>867901.4</v>
      </c>
      <c r="H165" t="inlineStr">
        <is>
          <t>2022-11-30</t>
        </is>
      </c>
      <c r="I165" t="inlineStr">
        <is>
          <t>verified_original_html</t>
        </is>
      </c>
      <c r="J165" t="inlineStr">
        <is>
          <t>https://www.shzfgjj.cn/html/newxxgk/ywsjtj/212228.html</t>
        </is>
      </c>
    </row>
    <row r="166">
      <c r="A166" t="n">
        <v>2022</v>
      </c>
      <c r="B166" t="n">
        <v>11</v>
      </c>
      <c r="C166" t="inlineStr">
        <is>
          <t>普陀</t>
        </is>
      </c>
      <c r="D166" t="n">
        <v>3.47</v>
      </c>
      <c r="E166" t="n">
        <v>35.87</v>
      </c>
      <c r="F166" t="n">
        <v>619482.9</v>
      </c>
      <c r="G166" t="n">
        <v>352756.54</v>
      </c>
      <c r="H166" t="inlineStr">
        <is>
          <t>2022-11-30</t>
        </is>
      </c>
      <c r="I166" t="inlineStr">
        <is>
          <t>verified_original_html</t>
        </is>
      </c>
      <c r="J166" t="inlineStr">
        <is>
          <t>https://www.shzfgjj.cn/html/newxxgk/ywsjtj/212228.html</t>
        </is>
      </c>
    </row>
    <row r="167">
      <c r="A167" t="n">
        <v>2022</v>
      </c>
      <c r="B167" t="n">
        <v>11</v>
      </c>
      <c r="C167" t="inlineStr">
        <is>
          <t>虹口</t>
        </is>
      </c>
      <c r="D167" t="n">
        <v>2.34</v>
      </c>
      <c r="E167" t="n">
        <v>30.13</v>
      </c>
      <c r="F167" t="n">
        <v>612927.76</v>
      </c>
      <c r="G167" t="n">
        <v>379448.3</v>
      </c>
      <c r="H167" t="inlineStr">
        <is>
          <t>2022-11-30</t>
        </is>
      </c>
      <c r="I167" t="inlineStr">
        <is>
          <t>verified_original_html</t>
        </is>
      </c>
      <c r="J167" t="inlineStr">
        <is>
          <t>https://www.shzfgjj.cn/html/newxxgk/ywsjtj/212228.html</t>
        </is>
      </c>
    </row>
    <row r="168">
      <c r="A168" t="n">
        <v>2022</v>
      </c>
      <c r="B168" t="n">
        <v>11</v>
      </c>
      <c r="C168" t="inlineStr">
        <is>
          <t>杨浦</t>
        </is>
      </c>
      <c r="D168" t="n">
        <v>2.41</v>
      </c>
      <c r="E168" t="n">
        <v>34.44</v>
      </c>
      <c r="F168" t="n">
        <v>832666.73</v>
      </c>
      <c r="G168" t="n">
        <v>472524.08</v>
      </c>
      <c r="H168" t="inlineStr">
        <is>
          <t>2022-11-30</t>
        </is>
      </c>
      <c r="I168" t="inlineStr">
        <is>
          <t>verified_original_html</t>
        </is>
      </c>
      <c r="J168" t="inlineStr">
        <is>
          <t>https://www.shzfgjj.cn/html/newxxgk/ywsjtj/212228.html</t>
        </is>
      </c>
    </row>
    <row r="169">
      <c r="A169" t="n">
        <v>2022</v>
      </c>
      <c r="B169" t="n">
        <v>11</v>
      </c>
      <c r="C169" t="inlineStr">
        <is>
          <t>闵行</t>
        </is>
      </c>
      <c r="D169" t="n">
        <v>5.68</v>
      </c>
      <c r="E169" t="n">
        <v>58.22</v>
      </c>
      <c r="F169" t="n">
        <v>993221.79</v>
      </c>
      <c r="G169" t="n">
        <v>563427.74</v>
      </c>
      <c r="H169" t="inlineStr">
        <is>
          <t>2022-11-30</t>
        </is>
      </c>
      <c r="I169" t="inlineStr">
        <is>
          <t>verified_original_html</t>
        </is>
      </c>
      <c r="J169" t="inlineStr">
        <is>
          <t>https://www.shzfgjj.cn/html/newxxgk/ywsjtj/212228.html</t>
        </is>
      </c>
    </row>
    <row r="170">
      <c r="A170" t="n">
        <v>2022</v>
      </c>
      <c r="B170" t="n">
        <v>11</v>
      </c>
      <c r="C170" t="inlineStr">
        <is>
          <t>宝山</t>
        </is>
      </c>
      <c r="D170" t="n">
        <v>3.58</v>
      </c>
      <c r="E170" t="n">
        <v>40.46</v>
      </c>
      <c r="F170" t="n">
        <v>770153.23</v>
      </c>
      <c r="G170" t="n">
        <v>468702.75</v>
      </c>
      <c r="H170" t="inlineStr">
        <is>
          <t>2022-11-30</t>
        </is>
      </c>
      <c r="I170" t="inlineStr">
        <is>
          <t>verified_original_html</t>
        </is>
      </c>
      <c r="J170" t="inlineStr">
        <is>
          <t>https://www.shzfgjj.cn/html/newxxgk/ywsjtj/212228.html</t>
        </is>
      </c>
    </row>
    <row r="171">
      <c r="A171" t="n">
        <v>2022</v>
      </c>
      <c r="B171" t="n">
        <v>11</v>
      </c>
      <c r="C171" t="inlineStr">
        <is>
          <t>嘉定</t>
        </is>
      </c>
      <c r="D171" t="n">
        <v>3.04</v>
      </c>
      <c r="E171" t="n">
        <v>39.97</v>
      </c>
      <c r="F171" t="n">
        <v>725718.95</v>
      </c>
      <c r="G171" t="n">
        <v>427324.62</v>
      </c>
      <c r="H171" t="inlineStr">
        <is>
          <t>2022-11-30</t>
        </is>
      </c>
      <c r="I171" t="inlineStr">
        <is>
          <t>verified_original_html</t>
        </is>
      </c>
      <c r="J171" t="inlineStr">
        <is>
          <t>https://www.shzfgjj.cn/html/newxxgk/ywsjtj/212228.html</t>
        </is>
      </c>
    </row>
    <row r="172">
      <c r="A172" t="n">
        <v>2022</v>
      </c>
      <c r="B172" t="n">
        <v>11</v>
      </c>
      <c r="C172" t="inlineStr">
        <is>
          <t>浦东</t>
        </is>
      </c>
      <c r="D172" t="n">
        <v>9.59</v>
      </c>
      <c r="E172" t="n">
        <v>164.43</v>
      </c>
      <c r="F172" t="n">
        <v>3694463.05</v>
      </c>
      <c r="G172" t="n">
        <v>2107820.51</v>
      </c>
      <c r="H172" t="inlineStr">
        <is>
          <t>2022-11-30</t>
        </is>
      </c>
      <c r="I172" t="inlineStr">
        <is>
          <t>verified_original_html</t>
        </is>
      </c>
      <c r="J172" t="inlineStr">
        <is>
          <t>https://www.shzfgjj.cn/html/newxxgk/ywsjtj/212228.html</t>
        </is>
      </c>
    </row>
    <row r="173">
      <c r="A173" t="n">
        <v>2022</v>
      </c>
      <c r="B173" t="n">
        <v>11</v>
      </c>
      <c r="C173" t="inlineStr">
        <is>
          <t>奉贤</t>
        </is>
      </c>
      <c r="D173" t="n">
        <v>1.99</v>
      </c>
      <c r="E173" t="n">
        <v>21.64</v>
      </c>
      <c r="F173" t="n">
        <v>327433.75</v>
      </c>
      <c r="G173" t="n">
        <v>186833.11</v>
      </c>
      <c r="H173" t="inlineStr">
        <is>
          <t>2022-11-30</t>
        </is>
      </c>
      <c r="I173" t="inlineStr">
        <is>
          <t>verified_original_html</t>
        </is>
      </c>
      <c r="J173" t="inlineStr">
        <is>
          <t>https://www.shzfgjj.cn/html/newxxgk/ywsjtj/212228.html</t>
        </is>
      </c>
    </row>
    <row r="174">
      <c r="A174" t="n">
        <v>2022</v>
      </c>
      <c r="B174" t="n">
        <v>11</v>
      </c>
      <c r="C174" t="inlineStr">
        <is>
          <t>松江</t>
        </is>
      </c>
      <c r="D174" t="n">
        <v>3.34</v>
      </c>
      <c r="E174" t="n">
        <v>40.42</v>
      </c>
      <c r="F174" t="n">
        <v>553371.4399999999</v>
      </c>
      <c r="G174" t="n">
        <v>322090.89</v>
      </c>
      <c r="H174" t="inlineStr">
        <is>
          <t>2022-11-30</t>
        </is>
      </c>
      <c r="I174" t="inlineStr">
        <is>
          <t>verified_original_html</t>
        </is>
      </c>
      <c r="J174" t="inlineStr">
        <is>
          <t>https://www.shzfgjj.cn/html/newxxgk/ywsjtj/212228.html</t>
        </is>
      </c>
    </row>
    <row r="175">
      <c r="A175" t="n">
        <v>2022</v>
      </c>
      <c r="B175" t="n">
        <v>11</v>
      </c>
      <c r="C175" t="inlineStr">
        <is>
          <t>金山</t>
        </is>
      </c>
      <c r="D175" t="n">
        <v>1.44</v>
      </c>
      <c r="E175" t="n">
        <v>19.93</v>
      </c>
      <c r="F175" t="n">
        <v>323898.72</v>
      </c>
      <c r="G175" t="n">
        <v>199320.89</v>
      </c>
      <c r="H175" t="inlineStr">
        <is>
          <t>2022-11-30</t>
        </is>
      </c>
      <c r="I175" t="inlineStr">
        <is>
          <t>verified_original_html</t>
        </is>
      </c>
      <c r="J175" t="inlineStr">
        <is>
          <t>https://www.shzfgjj.cn/html/newxxgk/ywsjtj/212228.html</t>
        </is>
      </c>
    </row>
    <row r="176">
      <c r="A176" t="n">
        <v>2022</v>
      </c>
      <c r="B176" t="n">
        <v>11</v>
      </c>
      <c r="C176" t="inlineStr">
        <is>
          <t>青浦</t>
        </is>
      </c>
      <c r="D176" t="n">
        <v>1.79</v>
      </c>
      <c r="E176" t="n">
        <v>26.59</v>
      </c>
      <c r="F176" t="n">
        <v>396408.46</v>
      </c>
      <c r="G176" t="n">
        <v>229037.36</v>
      </c>
      <c r="H176" t="inlineStr">
        <is>
          <t>2022-11-30</t>
        </is>
      </c>
      <c r="I176" t="inlineStr">
        <is>
          <t>verified_original_html</t>
        </is>
      </c>
      <c r="J176" t="inlineStr">
        <is>
          <t>https://www.shzfgjj.cn/html/newxxgk/ywsjtj/212228.html</t>
        </is>
      </c>
    </row>
    <row r="177">
      <c r="A177" t="n">
        <v>2022</v>
      </c>
      <c r="B177" t="n">
        <v>11</v>
      </c>
      <c r="C177" t="inlineStr">
        <is>
          <t>崇明</t>
        </is>
      </c>
      <c r="D177" t="n">
        <v>0.37</v>
      </c>
      <c r="E177" t="n">
        <v>7.3</v>
      </c>
      <c r="F177" t="n">
        <v>138737.7</v>
      </c>
      <c r="G177" t="n">
        <v>90302.05</v>
      </c>
      <c r="H177" t="inlineStr">
        <is>
          <t>2022-11-30</t>
        </is>
      </c>
      <c r="I177" t="inlineStr">
        <is>
          <t>verified_original_html</t>
        </is>
      </c>
      <c r="J177" t="inlineStr">
        <is>
          <t>https://www.shzfgjj.cn/html/newxxgk/ywsjtj/212228.html</t>
        </is>
      </c>
    </row>
    <row r="178">
      <c r="A178" t="n">
        <v>2022</v>
      </c>
      <c r="B178" t="n">
        <v>12</v>
      </c>
      <c r="C178" t="inlineStr">
        <is>
          <t>黄浦</t>
        </is>
      </c>
      <c r="D178" t="n">
        <v>3.46</v>
      </c>
      <c r="E178" t="n">
        <v>121.91</v>
      </c>
      <c r="F178" t="n">
        <v>4640048.1</v>
      </c>
      <c r="G178" t="n">
        <v>4143994.3</v>
      </c>
      <c r="H178" t="inlineStr">
        <is>
          <t>2022-12-31</t>
        </is>
      </c>
      <c r="I178" t="inlineStr">
        <is>
          <t>verified_original_html</t>
        </is>
      </c>
      <c r="J178" t="inlineStr">
        <is>
          <t>https://www.shzfgjj.cn/html/newxxgk/ywsjtj/212590.html</t>
        </is>
      </c>
    </row>
    <row r="179">
      <c r="A179" t="n">
        <v>2022</v>
      </c>
      <c r="B179" t="n">
        <v>12</v>
      </c>
      <c r="C179" t="inlineStr">
        <is>
          <t>徐汇</t>
        </is>
      </c>
      <c r="D179" t="n">
        <v>5.11</v>
      </c>
      <c r="E179" t="n">
        <v>91.06</v>
      </c>
      <c r="F179" t="n">
        <v>2611551.61</v>
      </c>
      <c r="G179" t="n">
        <v>1489672.88</v>
      </c>
      <c r="H179" t="inlineStr">
        <is>
          <t>2022-12-31</t>
        </is>
      </c>
      <c r="I179" t="inlineStr">
        <is>
          <t>verified_original_html</t>
        </is>
      </c>
      <c r="J179" t="inlineStr">
        <is>
          <t>https://www.shzfgjj.cn/html/newxxgk/ywsjtj/212590.html</t>
        </is>
      </c>
    </row>
    <row r="180">
      <c r="A180" t="n">
        <v>2022</v>
      </c>
      <c r="B180" t="n">
        <v>12</v>
      </c>
      <c r="C180" t="inlineStr">
        <is>
          <t>长宁</t>
        </is>
      </c>
      <c r="D180" t="n">
        <v>2.49</v>
      </c>
      <c r="E180" t="n">
        <v>55.89</v>
      </c>
      <c r="F180" t="n">
        <v>1512598.05</v>
      </c>
      <c r="G180" t="n">
        <v>891003.01</v>
      </c>
      <c r="H180" t="inlineStr">
        <is>
          <t>2022-12-31</t>
        </is>
      </c>
      <c r="I180" t="inlineStr">
        <is>
          <t>verified_original_html</t>
        </is>
      </c>
      <c r="J180" t="inlineStr">
        <is>
          <t>https://www.shzfgjj.cn/html/newxxgk/ywsjtj/212590.html</t>
        </is>
      </c>
    </row>
    <row r="181">
      <c r="A181" t="n">
        <v>2022</v>
      </c>
      <c r="B181" t="n">
        <v>12</v>
      </c>
      <c r="C181" t="inlineStr">
        <is>
          <t>静安</t>
        </is>
      </c>
      <c r="D181" t="n">
        <v>3.7</v>
      </c>
      <c r="E181" t="n">
        <v>65.13</v>
      </c>
      <c r="F181" t="n">
        <v>1615837.41</v>
      </c>
      <c r="G181" t="n">
        <v>943427.92</v>
      </c>
      <c r="H181" t="inlineStr">
        <is>
          <t>2022-12-31</t>
        </is>
      </c>
      <c r="I181" t="inlineStr">
        <is>
          <t>verified_original_html</t>
        </is>
      </c>
      <c r="J181" t="inlineStr">
        <is>
          <t>https://www.shzfgjj.cn/html/newxxgk/ywsjtj/212590.html</t>
        </is>
      </c>
    </row>
    <row r="182">
      <c r="A182" t="n">
        <v>2022</v>
      </c>
      <c r="B182" t="n">
        <v>12</v>
      </c>
      <c r="C182" t="inlineStr">
        <is>
          <t>普陀</t>
        </is>
      </c>
      <c r="D182" t="n">
        <v>3.48</v>
      </c>
      <c r="E182" t="n">
        <v>35.78</v>
      </c>
      <c r="F182" t="n">
        <v>680833.52</v>
      </c>
      <c r="G182" t="n">
        <v>385251.56</v>
      </c>
      <c r="H182" t="inlineStr">
        <is>
          <t>2022-12-31</t>
        </is>
      </c>
      <c r="I182" t="inlineStr">
        <is>
          <t>verified_original_html</t>
        </is>
      </c>
      <c r="J182" t="inlineStr">
        <is>
          <t>https://www.shzfgjj.cn/html/newxxgk/ywsjtj/212590.html</t>
        </is>
      </c>
    </row>
    <row r="183">
      <c r="A183" t="n">
        <v>2022</v>
      </c>
      <c r="B183" t="n">
        <v>12</v>
      </c>
      <c r="C183" t="inlineStr">
        <is>
          <t>虹口</t>
        </is>
      </c>
      <c r="D183" t="n">
        <v>2.34</v>
      </c>
      <c r="E183" t="n">
        <v>30.05</v>
      </c>
      <c r="F183" t="n">
        <v>670323.0600000001</v>
      </c>
      <c r="G183" t="n">
        <v>412115.04</v>
      </c>
      <c r="H183" t="inlineStr">
        <is>
          <t>2022-12-31</t>
        </is>
      </c>
      <c r="I183" t="inlineStr">
        <is>
          <t>verified_original_html</t>
        </is>
      </c>
      <c r="J183" t="inlineStr">
        <is>
          <t>https://www.shzfgjj.cn/html/newxxgk/ywsjtj/212590.html</t>
        </is>
      </c>
    </row>
    <row r="184">
      <c r="A184" t="n">
        <v>2022</v>
      </c>
      <c r="B184" t="n">
        <v>12</v>
      </c>
      <c r="C184" t="inlineStr">
        <is>
          <t>杨浦</t>
        </is>
      </c>
      <c r="D184" t="n">
        <v>2.42</v>
      </c>
      <c r="E184" t="n">
        <v>34.39</v>
      </c>
      <c r="F184" t="n">
        <v>912046.7</v>
      </c>
      <c r="G184" t="n">
        <v>515556.69</v>
      </c>
      <c r="H184" t="inlineStr">
        <is>
          <t>2022-12-31</t>
        </is>
      </c>
      <c r="I184" t="inlineStr">
        <is>
          <t>verified_original_html</t>
        </is>
      </c>
      <c r="J184" t="inlineStr">
        <is>
          <t>https://www.shzfgjj.cn/html/newxxgk/ywsjtj/212590.html</t>
        </is>
      </c>
    </row>
    <row r="185">
      <c r="A185" t="n">
        <v>2022</v>
      </c>
      <c r="B185" t="n">
        <v>12</v>
      </c>
      <c r="C185" t="inlineStr">
        <is>
          <t>闵行</t>
        </is>
      </c>
      <c r="D185" t="n">
        <v>5.73</v>
      </c>
      <c r="E185" t="n">
        <v>58.33</v>
      </c>
      <c r="F185" t="n">
        <v>1089781.09</v>
      </c>
      <c r="G185" t="n">
        <v>614936.9</v>
      </c>
      <c r="H185" t="inlineStr">
        <is>
          <t>2022-12-31</t>
        </is>
      </c>
      <c r="I185" t="inlineStr">
        <is>
          <t>verified_original_html</t>
        </is>
      </c>
      <c r="J185" t="inlineStr">
        <is>
          <t>https://www.shzfgjj.cn/html/newxxgk/ywsjtj/212590.html</t>
        </is>
      </c>
    </row>
    <row r="186">
      <c r="A186" t="n">
        <v>2022</v>
      </c>
      <c r="B186" t="n">
        <v>12</v>
      </c>
      <c r="C186" t="inlineStr">
        <is>
          <t>宝山</t>
        </is>
      </c>
      <c r="D186" t="n">
        <v>3.59</v>
      </c>
      <c r="E186" t="n">
        <v>40.44</v>
      </c>
      <c r="F186" t="n">
        <v>843128.47</v>
      </c>
      <c r="G186" t="n">
        <v>510395.41</v>
      </c>
      <c r="H186" t="inlineStr">
        <is>
          <t>2022-12-31</t>
        </is>
      </c>
      <c r="I186" t="inlineStr">
        <is>
          <t>verified_original_html</t>
        </is>
      </c>
      <c r="J186" t="inlineStr">
        <is>
          <t>https://www.shzfgjj.cn/html/newxxgk/ywsjtj/212590.html</t>
        </is>
      </c>
    </row>
    <row r="187">
      <c r="A187" t="n">
        <v>2022</v>
      </c>
      <c r="B187" t="n">
        <v>12</v>
      </c>
      <c r="C187" t="inlineStr">
        <is>
          <t>嘉定</t>
        </is>
      </c>
      <c r="D187" t="n">
        <v>3.05</v>
      </c>
      <c r="E187" t="n">
        <v>39.97</v>
      </c>
      <c r="F187" t="n">
        <v>799494.73</v>
      </c>
      <c r="G187" t="n">
        <v>466152.31</v>
      </c>
      <c r="H187" t="inlineStr">
        <is>
          <t>2022-12-31</t>
        </is>
      </c>
      <c r="I187" t="inlineStr">
        <is>
          <t>verified_original_html</t>
        </is>
      </c>
      <c r="J187" t="inlineStr">
        <is>
          <t>https://www.shzfgjj.cn/html/newxxgk/ywsjtj/212590.html</t>
        </is>
      </c>
    </row>
    <row r="188">
      <c r="A188" t="n">
        <v>2022</v>
      </c>
      <c r="B188" t="n">
        <v>12</v>
      </c>
      <c r="C188" t="inlineStr">
        <is>
          <t>浦东</t>
        </is>
      </c>
      <c r="D188" t="n">
        <v>9.619999999999999</v>
      </c>
      <c r="E188" t="n">
        <v>164.75</v>
      </c>
      <c r="F188" t="n">
        <v>4061562.91</v>
      </c>
      <c r="G188" t="n">
        <v>2303264.89</v>
      </c>
      <c r="H188" t="inlineStr">
        <is>
          <t>2022-12-31</t>
        </is>
      </c>
      <c r="I188" t="inlineStr">
        <is>
          <t>verified_original_html</t>
        </is>
      </c>
      <c r="J188" t="inlineStr">
        <is>
          <t>https://www.shzfgjj.cn/html/newxxgk/ywsjtj/212590.html</t>
        </is>
      </c>
    </row>
    <row r="189">
      <c r="A189" t="n">
        <v>2022</v>
      </c>
      <c r="B189" t="n">
        <v>12</v>
      </c>
      <c r="C189" t="inlineStr">
        <is>
          <t>奉贤</t>
        </is>
      </c>
      <c r="D189" t="n">
        <v>2.01</v>
      </c>
      <c r="E189" t="n">
        <v>21.67</v>
      </c>
      <c r="F189" t="n">
        <v>359804.73</v>
      </c>
      <c r="G189" t="n">
        <v>203252.64</v>
      </c>
      <c r="H189" t="inlineStr">
        <is>
          <t>2022-12-31</t>
        </is>
      </c>
      <c r="I189" t="inlineStr">
        <is>
          <t>verified_original_html</t>
        </is>
      </c>
      <c r="J189" t="inlineStr">
        <is>
          <t>https://www.shzfgjj.cn/html/newxxgk/ywsjtj/212590.html</t>
        </is>
      </c>
    </row>
    <row r="190">
      <c r="A190" t="n">
        <v>2022</v>
      </c>
      <c r="B190" t="n">
        <v>12</v>
      </c>
      <c r="C190" t="inlineStr">
        <is>
          <t>松江</t>
        </is>
      </c>
      <c r="D190" t="n">
        <v>3.35</v>
      </c>
      <c r="E190" t="n">
        <v>40.45</v>
      </c>
      <c r="F190" t="n">
        <v>607988.23</v>
      </c>
      <c r="G190" t="n">
        <v>351675.1</v>
      </c>
      <c r="H190" t="inlineStr">
        <is>
          <t>2022-12-31</t>
        </is>
      </c>
      <c r="I190" t="inlineStr">
        <is>
          <t>verified_original_html</t>
        </is>
      </c>
      <c r="J190" t="inlineStr">
        <is>
          <t>https://www.shzfgjj.cn/html/newxxgk/ywsjtj/212590.html</t>
        </is>
      </c>
    </row>
    <row r="191">
      <c r="A191" t="n">
        <v>2022</v>
      </c>
      <c r="B191" t="n">
        <v>12</v>
      </c>
      <c r="C191" t="inlineStr">
        <is>
          <t>金山</t>
        </is>
      </c>
      <c r="D191" t="n">
        <v>1.45</v>
      </c>
      <c r="E191" t="n">
        <v>19.94</v>
      </c>
      <c r="F191" t="n">
        <v>355120.35</v>
      </c>
      <c r="G191" t="n">
        <v>216592.7</v>
      </c>
      <c r="H191" t="inlineStr">
        <is>
          <t>2022-12-31</t>
        </is>
      </c>
      <c r="I191" t="inlineStr">
        <is>
          <t>verified_original_html</t>
        </is>
      </c>
      <c r="J191" t="inlineStr">
        <is>
          <t>https://www.shzfgjj.cn/html/newxxgk/ywsjtj/212590.html</t>
        </is>
      </c>
    </row>
    <row r="192">
      <c r="A192" t="n">
        <v>2022</v>
      </c>
      <c r="B192" t="n">
        <v>12</v>
      </c>
      <c r="C192" t="inlineStr">
        <is>
          <t>青浦</t>
        </is>
      </c>
      <c r="D192" t="n">
        <v>1.8</v>
      </c>
      <c r="E192" t="n">
        <v>26.52</v>
      </c>
      <c r="F192" t="n">
        <v>434948.84</v>
      </c>
      <c r="G192" t="n">
        <v>249383.65</v>
      </c>
      <c r="H192" t="inlineStr">
        <is>
          <t>2022-12-31</t>
        </is>
      </c>
      <c r="I192" t="inlineStr">
        <is>
          <t>verified_original_html</t>
        </is>
      </c>
      <c r="J192" t="inlineStr">
        <is>
          <t>https://www.shzfgjj.cn/html/newxxgk/ywsjtj/212590.html</t>
        </is>
      </c>
    </row>
    <row r="193">
      <c r="A193" t="n">
        <v>2022</v>
      </c>
      <c r="B193" t="n">
        <v>12</v>
      </c>
      <c r="C193" t="inlineStr">
        <is>
          <t>崇明</t>
        </is>
      </c>
      <c r="D193" t="n">
        <v>0.37</v>
      </c>
      <c r="E193" t="n">
        <v>7.29</v>
      </c>
      <c r="F193" t="n">
        <v>151964.22</v>
      </c>
      <c r="G193" t="n">
        <v>97738.34</v>
      </c>
      <c r="H193" t="inlineStr">
        <is>
          <t>2022-12-31</t>
        </is>
      </c>
      <c r="I193" t="inlineStr">
        <is>
          <t>verified_original_html</t>
        </is>
      </c>
      <c r="J193" t="inlineStr">
        <is>
          <t>https://www.shzfgjj.cn/html/newxxgk/ywsjtj/212590.html</t>
        </is>
      </c>
    </row>
    <row r="194">
      <c r="A194" t="n">
        <v>2023</v>
      </c>
      <c r="B194" t="n">
        <v>1</v>
      </c>
      <c r="C194" t="inlineStr">
        <is>
          <t>黄浦</t>
        </is>
      </c>
      <c r="D194" t="n">
        <v>3.46</v>
      </c>
      <c r="E194" t="n">
        <v>121.22</v>
      </c>
      <c r="F194" t="n">
        <v>417102.26</v>
      </c>
      <c r="G194" t="n">
        <v>355442.82</v>
      </c>
      <c r="H194" t="inlineStr">
        <is>
          <t>2023-01-31</t>
        </is>
      </c>
      <c r="I194" t="inlineStr">
        <is>
          <t>verified_original_html</t>
        </is>
      </c>
      <c r="J194" t="inlineStr">
        <is>
          <t>https://www.shzfgjj.cn/html/newxxgk/ywsjtj/213018.html</t>
        </is>
      </c>
    </row>
    <row r="195">
      <c r="A195" t="n">
        <v>2023</v>
      </c>
      <c r="B195" t="n">
        <v>1</v>
      </c>
      <c r="C195" t="inlineStr">
        <is>
          <t>徐汇</t>
        </is>
      </c>
      <c r="D195" t="n">
        <v>5.12</v>
      </c>
      <c r="E195" t="n">
        <v>90.73999999999999</v>
      </c>
      <c r="F195" t="n">
        <v>233969.88</v>
      </c>
      <c r="G195" t="n">
        <v>122732.45</v>
      </c>
      <c r="H195" t="inlineStr">
        <is>
          <t>2023-01-31</t>
        </is>
      </c>
      <c r="I195" t="inlineStr">
        <is>
          <t>verified_original_html</t>
        </is>
      </c>
      <c r="J195" t="inlineStr">
        <is>
          <t>https://www.shzfgjj.cn/html/newxxgk/ywsjtj/213018.html</t>
        </is>
      </c>
    </row>
    <row r="196">
      <c r="A196" t="n">
        <v>2023</v>
      </c>
      <c r="B196" t="n">
        <v>1</v>
      </c>
      <c r="C196" t="inlineStr">
        <is>
          <t>长宁</t>
        </is>
      </c>
      <c r="D196" t="n">
        <v>2.48</v>
      </c>
      <c r="E196" t="n">
        <v>55.49</v>
      </c>
      <c r="F196" t="n">
        <v>135582.37</v>
      </c>
      <c r="G196" t="n">
        <v>71977.55</v>
      </c>
      <c r="H196" t="inlineStr">
        <is>
          <t>2023-01-31</t>
        </is>
      </c>
      <c r="I196" t="inlineStr">
        <is>
          <t>verified_original_html</t>
        </is>
      </c>
      <c r="J196" t="inlineStr">
        <is>
          <t>https://www.shzfgjj.cn/html/newxxgk/ywsjtj/213018.html</t>
        </is>
      </c>
    </row>
    <row r="197">
      <c r="A197" t="n">
        <v>2023</v>
      </c>
      <c r="B197" t="n">
        <v>1</v>
      </c>
      <c r="C197" t="inlineStr">
        <is>
          <t>静安</t>
        </is>
      </c>
      <c r="D197" t="n">
        <v>3.71</v>
      </c>
      <c r="E197" t="n">
        <v>63.95</v>
      </c>
      <c r="F197" t="n">
        <v>141491.04</v>
      </c>
      <c r="G197" t="n">
        <v>75736.42999999999</v>
      </c>
      <c r="H197" t="inlineStr">
        <is>
          <t>2023-01-31</t>
        </is>
      </c>
      <c r="I197" t="inlineStr">
        <is>
          <t>verified_original_html</t>
        </is>
      </c>
      <c r="J197" t="inlineStr">
        <is>
          <t>https://www.shzfgjj.cn/html/newxxgk/ywsjtj/213018.html</t>
        </is>
      </c>
    </row>
    <row r="198">
      <c r="A198" t="n">
        <v>2023</v>
      </c>
      <c r="B198" t="n">
        <v>1</v>
      </c>
      <c r="C198" t="inlineStr">
        <is>
          <t>普陀</t>
        </is>
      </c>
      <c r="D198" t="n">
        <v>3.48</v>
      </c>
      <c r="E198" t="n">
        <v>35.52</v>
      </c>
      <c r="F198" t="n">
        <v>59074.33</v>
      </c>
      <c r="G198" t="n">
        <v>31631.85</v>
      </c>
      <c r="H198" t="inlineStr">
        <is>
          <t>2023-01-31</t>
        </is>
      </c>
      <c r="I198" t="inlineStr">
        <is>
          <t>verified_original_html</t>
        </is>
      </c>
      <c r="J198" t="inlineStr">
        <is>
          <t>https://www.shzfgjj.cn/html/newxxgk/ywsjtj/213018.html</t>
        </is>
      </c>
    </row>
    <row r="199">
      <c r="A199" t="n">
        <v>2023</v>
      </c>
      <c r="B199" t="n">
        <v>1</v>
      </c>
      <c r="C199" t="inlineStr">
        <is>
          <t>虹口</t>
        </is>
      </c>
      <c r="D199" t="n">
        <v>2.34</v>
      </c>
      <c r="E199" t="n">
        <v>29.94</v>
      </c>
      <c r="F199" t="n">
        <v>62440.93</v>
      </c>
      <c r="G199" t="n">
        <v>34041.31</v>
      </c>
      <c r="H199" t="inlineStr">
        <is>
          <t>2023-01-31</t>
        </is>
      </c>
      <c r="I199" t="inlineStr">
        <is>
          <t>verified_original_html</t>
        </is>
      </c>
      <c r="J199" t="inlineStr">
        <is>
          <t>https://www.shzfgjj.cn/html/newxxgk/ywsjtj/213018.html</t>
        </is>
      </c>
    </row>
    <row r="200">
      <c r="A200" t="n">
        <v>2023</v>
      </c>
      <c r="B200" t="n">
        <v>1</v>
      </c>
      <c r="C200" t="inlineStr">
        <is>
          <t>杨浦</t>
        </is>
      </c>
      <c r="D200" t="n">
        <v>2.42</v>
      </c>
      <c r="E200" t="n">
        <v>34.13</v>
      </c>
      <c r="F200" t="n">
        <v>77815.85000000001</v>
      </c>
      <c r="G200" t="n">
        <v>42700.08</v>
      </c>
      <c r="H200" t="inlineStr">
        <is>
          <t>2023-01-31</t>
        </is>
      </c>
      <c r="I200" t="inlineStr">
        <is>
          <t>verified_original_html</t>
        </is>
      </c>
      <c r="J200" t="inlineStr">
        <is>
          <t>https://www.shzfgjj.cn/html/newxxgk/ywsjtj/213018.html</t>
        </is>
      </c>
    </row>
    <row r="201">
      <c r="A201" t="n">
        <v>2023</v>
      </c>
      <c r="B201" t="n">
        <v>1</v>
      </c>
      <c r="C201" t="inlineStr">
        <is>
          <t>闵行</t>
        </is>
      </c>
      <c r="D201" t="n">
        <v>5.78</v>
      </c>
      <c r="E201" t="n">
        <v>58.17</v>
      </c>
      <c r="F201" t="n">
        <v>99133.5</v>
      </c>
      <c r="G201" t="n">
        <v>50906.66</v>
      </c>
      <c r="H201" t="inlineStr">
        <is>
          <t>2023-01-31</t>
        </is>
      </c>
      <c r="I201" t="inlineStr">
        <is>
          <t>verified_original_html</t>
        </is>
      </c>
      <c r="J201" t="inlineStr">
        <is>
          <t>https://www.shzfgjj.cn/html/newxxgk/ywsjtj/213018.html</t>
        </is>
      </c>
    </row>
    <row r="202">
      <c r="A202" t="n">
        <v>2023</v>
      </c>
      <c r="B202" t="n">
        <v>1</v>
      </c>
      <c r="C202" t="inlineStr">
        <is>
          <t>宝山</t>
        </is>
      </c>
      <c r="D202" t="n">
        <v>3.6</v>
      </c>
      <c r="E202" t="n">
        <v>40.26</v>
      </c>
      <c r="F202" t="n">
        <v>73079.07000000001</v>
      </c>
      <c r="G202" t="n">
        <v>41489.99</v>
      </c>
      <c r="H202" t="inlineStr">
        <is>
          <t>2023-01-31</t>
        </is>
      </c>
      <c r="I202" t="inlineStr">
        <is>
          <t>verified_original_html</t>
        </is>
      </c>
      <c r="J202" t="inlineStr">
        <is>
          <t>https://www.shzfgjj.cn/html/newxxgk/ywsjtj/213018.html</t>
        </is>
      </c>
    </row>
    <row r="203">
      <c r="A203" t="n">
        <v>2023</v>
      </c>
      <c r="B203" t="n">
        <v>1</v>
      </c>
      <c r="C203" t="inlineStr">
        <is>
          <t>嘉定</t>
        </is>
      </c>
      <c r="D203" t="n">
        <v>3.06</v>
      </c>
      <c r="E203" t="n">
        <v>40</v>
      </c>
      <c r="F203" t="n">
        <v>76500.42</v>
      </c>
      <c r="G203" t="n">
        <v>39491.87</v>
      </c>
      <c r="H203" t="inlineStr">
        <is>
          <t>2023-01-31</t>
        </is>
      </c>
      <c r="I203" t="inlineStr">
        <is>
          <t>verified_original_html</t>
        </is>
      </c>
      <c r="J203" t="inlineStr">
        <is>
          <t>https://www.shzfgjj.cn/html/newxxgk/ywsjtj/213018.html</t>
        </is>
      </c>
    </row>
    <row r="204">
      <c r="A204" t="n">
        <v>2023</v>
      </c>
      <c r="B204" t="n">
        <v>1</v>
      </c>
      <c r="C204" t="inlineStr">
        <is>
          <t>浦东</t>
        </is>
      </c>
      <c r="D204" t="n">
        <v>9.640000000000001</v>
      </c>
      <c r="E204" t="n">
        <v>163.77</v>
      </c>
      <c r="F204" t="n">
        <v>372395.88</v>
      </c>
      <c r="G204" t="n">
        <v>193087.25</v>
      </c>
      <c r="H204" t="inlineStr">
        <is>
          <t>2023-01-31</t>
        </is>
      </c>
      <c r="I204" t="inlineStr">
        <is>
          <t>verified_original_html</t>
        </is>
      </c>
      <c r="J204" t="inlineStr">
        <is>
          <t>https://www.shzfgjj.cn/html/newxxgk/ywsjtj/213018.html</t>
        </is>
      </c>
    </row>
    <row r="205">
      <c r="A205" t="n">
        <v>2023</v>
      </c>
      <c r="B205" t="n">
        <v>1</v>
      </c>
      <c r="C205" t="inlineStr">
        <is>
          <t>奉贤</t>
        </is>
      </c>
      <c r="D205" t="n">
        <v>2.02</v>
      </c>
      <c r="E205" t="n">
        <v>21.62</v>
      </c>
      <c r="F205" t="n">
        <v>31143</v>
      </c>
      <c r="G205" t="n">
        <v>16453.08</v>
      </c>
      <c r="H205" t="inlineStr">
        <is>
          <t>2023-01-31</t>
        </is>
      </c>
      <c r="I205" t="inlineStr">
        <is>
          <t>verified_original_html</t>
        </is>
      </c>
      <c r="J205" t="inlineStr">
        <is>
          <t>https://www.shzfgjj.cn/html/newxxgk/ywsjtj/213018.html</t>
        </is>
      </c>
    </row>
    <row r="206">
      <c r="A206" t="n">
        <v>2023</v>
      </c>
      <c r="B206" t="n">
        <v>1</v>
      </c>
      <c r="C206" t="inlineStr">
        <is>
          <t>松江</t>
        </is>
      </c>
      <c r="D206" t="n">
        <v>3.35</v>
      </c>
      <c r="E206" t="n">
        <v>40.25</v>
      </c>
      <c r="F206" t="n">
        <v>55255.16</v>
      </c>
      <c r="G206" t="n">
        <v>28639.67</v>
      </c>
      <c r="H206" t="inlineStr">
        <is>
          <t>2023-01-31</t>
        </is>
      </c>
      <c r="I206" t="inlineStr">
        <is>
          <t>verified_original_html</t>
        </is>
      </c>
      <c r="J206" t="inlineStr">
        <is>
          <t>https://www.shzfgjj.cn/html/newxxgk/ywsjtj/213018.html</t>
        </is>
      </c>
    </row>
    <row r="207">
      <c r="A207" t="n">
        <v>2023</v>
      </c>
      <c r="B207" t="n">
        <v>1</v>
      </c>
      <c r="C207" t="inlineStr">
        <is>
          <t>金山</t>
        </is>
      </c>
      <c r="D207" t="n">
        <v>1.45</v>
      </c>
      <c r="E207" t="n">
        <v>19.87</v>
      </c>
      <c r="F207" t="n">
        <v>31047.55</v>
      </c>
      <c r="G207" t="n">
        <v>16951.46</v>
      </c>
      <c r="H207" t="inlineStr">
        <is>
          <t>2023-01-31</t>
        </is>
      </c>
      <c r="I207" t="inlineStr">
        <is>
          <t>verified_original_html</t>
        </is>
      </c>
      <c r="J207" t="inlineStr">
        <is>
          <t>https://www.shzfgjj.cn/html/newxxgk/ywsjtj/213018.html</t>
        </is>
      </c>
    </row>
    <row r="208">
      <c r="A208" t="n">
        <v>2023</v>
      </c>
      <c r="B208" t="n">
        <v>1</v>
      </c>
      <c r="C208" t="inlineStr">
        <is>
          <t>青浦</t>
        </is>
      </c>
      <c r="D208" t="n">
        <v>1.8</v>
      </c>
      <c r="E208" t="n">
        <v>26.19</v>
      </c>
      <c r="F208" t="n">
        <v>38136.74</v>
      </c>
      <c r="G208" t="n">
        <v>19734.81</v>
      </c>
      <c r="H208" t="inlineStr">
        <is>
          <t>2023-01-31</t>
        </is>
      </c>
      <c r="I208" t="inlineStr">
        <is>
          <t>verified_original_html</t>
        </is>
      </c>
      <c r="J208" t="inlineStr">
        <is>
          <t>https://www.shzfgjj.cn/html/newxxgk/ywsjtj/213018.html</t>
        </is>
      </c>
    </row>
    <row r="209">
      <c r="A209" t="n">
        <v>2023</v>
      </c>
      <c r="B209" t="n">
        <v>1</v>
      </c>
      <c r="C209" t="inlineStr">
        <is>
          <t>崇明</t>
        </is>
      </c>
      <c r="D209" t="n">
        <v>0.37</v>
      </c>
      <c r="E209" t="n">
        <v>7.26</v>
      </c>
      <c r="F209" t="n">
        <v>13198.73</v>
      </c>
      <c r="G209" t="n">
        <v>6925.02</v>
      </c>
      <c r="H209" t="inlineStr">
        <is>
          <t>2023-01-31</t>
        </is>
      </c>
      <c r="I209" t="inlineStr">
        <is>
          <t>verified_original_html</t>
        </is>
      </c>
      <c r="J209" t="inlineStr">
        <is>
          <t>https://www.shzfgjj.cn/html/newxxgk/ywsjtj/213018.html</t>
        </is>
      </c>
    </row>
    <row r="210">
      <c r="A210" t="n">
        <v>2023</v>
      </c>
      <c r="B210" t="n">
        <v>2</v>
      </c>
      <c r="C210" t="inlineStr">
        <is>
          <t>黄浦</t>
        </is>
      </c>
      <c r="D210" t="n">
        <v>3.46</v>
      </c>
      <c r="E210" t="n">
        <v>120.9</v>
      </c>
      <c r="F210" t="n">
        <v>830522.96</v>
      </c>
      <c r="G210" t="n">
        <v>742305.47</v>
      </c>
      <c r="H210" t="inlineStr">
        <is>
          <t>2023-02-28</t>
        </is>
      </c>
      <c r="I210" t="inlineStr">
        <is>
          <t>verified_original_html</t>
        </is>
      </c>
      <c r="J210" t="inlineStr">
        <is>
          <t>https://www.shzfgjj.cn/html/newxxgk/ywsjtj/213599.html</t>
        </is>
      </c>
    </row>
    <row r="211">
      <c r="A211" t="n">
        <v>2023</v>
      </c>
      <c r="B211" t="n">
        <v>2</v>
      </c>
      <c r="C211" t="inlineStr">
        <is>
          <t>徐汇</t>
        </is>
      </c>
      <c r="D211" t="n">
        <v>5.14</v>
      </c>
      <c r="E211" t="n">
        <v>90.81999999999999</v>
      </c>
      <c r="F211" t="n">
        <v>468360.41</v>
      </c>
      <c r="G211" t="n">
        <v>250565.58</v>
      </c>
      <c r="H211" t="inlineStr">
        <is>
          <t>2023-02-28</t>
        </is>
      </c>
      <c r="I211" t="inlineStr">
        <is>
          <t>verified_original_html</t>
        </is>
      </c>
      <c r="J211" t="inlineStr">
        <is>
          <t>https://www.shzfgjj.cn/html/newxxgk/ywsjtj/213599.html</t>
        </is>
      </c>
    </row>
    <row r="212">
      <c r="A212" t="n">
        <v>2023</v>
      </c>
      <c r="B212" t="n">
        <v>2</v>
      </c>
      <c r="C212" t="inlineStr">
        <is>
          <t>长宁</t>
        </is>
      </c>
      <c r="D212" t="n">
        <v>2.48</v>
      </c>
      <c r="E212" t="n">
        <v>55.24</v>
      </c>
      <c r="F212" t="n">
        <v>269353.11</v>
      </c>
      <c r="G212" t="n">
        <v>146371.45</v>
      </c>
      <c r="H212" t="inlineStr">
        <is>
          <t>2023-02-28</t>
        </is>
      </c>
      <c r="I212" t="inlineStr">
        <is>
          <t>verified_original_html</t>
        </is>
      </c>
      <c r="J212" t="inlineStr">
        <is>
          <t>https://www.shzfgjj.cn/html/newxxgk/ywsjtj/213599.html</t>
        </is>
      </c>
    </row>
    <row r="213">
      <c r="A213" t="n">
        <v>2023</v>
      </c>
      <c r="B213" t="n">
        <v>2</v>
      </c>
      <c r="C213" t="inlineStr">
        <is>
          <t>静安</t>
        </is>
      </c>
      <c r="D213" t="n">
        <v>3.72</v>
      </c>
      <c r="E213" t="n">
        <v>63.81</v>
      </c>
      <c r="F213" t="n">
        <v>278526.68</v>
      </c>
      <c r="G213" t="n">
        <v>154556.38</v>
      </c>
      <c r="H213" t="inlineStr">
        <is>
          <t>2023-02-28</t>
        </is>
      </c>
      <c r="I213" t="inlineStr">
        <is>
          <t>verified_original_html</t>
        </is>
      </c>
      <c r="J213" t="inlineStr">
        <is>
          <t>https://www.shzfgjj.cn/html/newxxgk/ywsjtj/213599.html</t>
        </is>
      </c>
    </row>
    <row r="214">
      <c r="A214" t="n">
        <v>2023</v>
      </c>
      <c r="B214" t="n">
        <v>2</v>
      </c>
      <c r="C214" t="inlineStr">
        <is>
          <t>普陀</t>
        </is>
      </c>
      <c r="D214" t="n">
        <v>3.49</v>
      </c>
      <c r="E214" t="n">
        <v>35.4</v>
      </c>
      <c r="F214" t="n">
        <v>119955.12</v>
      </c>
      <c r="G214" t="n">
        <v>65265.58</v>
      </c>
      <c r="H214" t="inlineStr">
        <is>
          <t>2023-02-28</t>
        </is>
      </c>
      <c r="I214" t="inlineStr">
        <is>
          <t>verified_original_html</t>
        </is>
      </c>
      <c r="J214" t="inlineStr">
        <is>
          <t>https://www.shzfgjj.cn/html/newxxgk/ywsjtj/213599.html</t>
        </is>
      </c>
    </row>
    <row r="215">
      <c r="A215" t="n">
        <v>2023</v>
      </c>
      <c r="B215" t="n">
        <v>2</v>
      </c>
      <c r="C215" t="inlineStr">
        <is>
          <t>虹口</t>
        </is>
      </c>
      <c r="D215" t="n">
        <v>2.34</v>
      </c>
      <c r="E215" t="n">
        <v>29.91</v>
      </c>
      <c r="F215" t="n">
        <v>122117.45</v>
      </c>
      <c r="G215" t="n">
        <v>69718.09</v>
      </c>
      <c r="H215" t="inlineStr">
        <is>
          <t>2023-02-28</t>
        </is>
      </c>
      <c r="I215" t="inlineStr">
        <is>
          <t>verified_original_html</t>
        </is>
      </c>
      <c r="J215" t="inlineStr">
        <is>
          <t>https://www.shzfgjj.cn/html/newxxgk/ywsjtj/213599.html</t>
        </is>
      </c>
    </row>
    <row r="216">
      <c r="A216" t="n">
        <v>2023</v>
      </c>
      <c r="B216" t="n">
        <v>2</v>
      </c>
      <c r="C216" t="inlineStr">
        <is>
          <t>杨浦</t>
        </is>
      </c>
      <c r="D216" t="n">
        <v>2.42</v>
      </c>
      <c r="E216" t="n">
        <v>33.87</v>
      </c>
      <c r="F216" t="n">
        <v>158861.9</v>
      </c>
      <c r="G216" t="n">
        <v>88169.88</v>
      </c>
      <c r="H216" t="inlineStr">
        <is>
          <t>2023-02-28</t>
        </is>
      </c>
      <c r="I216" t="inlineStr">
        <is>
          <t>verified_original_html</t>
        </is>
      </c>
      <c r="J216" t="inlineStr">
        <is>
          <t>https://www.shzfgjj.cn/html/newxxgk/ywsjtj/213599.html</t>
        </is>
      </c>
    </row>
    <row r="217">
      <c r="A217" t="n">
        <v>2023</v>
      </c>
      <c r="B217" t="n">
        <v>2</v>
      </c>
      <c r="C217" t="inlineStr">
        <is>
          <t>闵行</t>
        </is>
      </c>
      <c r="D217" t="n">
        <v>5.84</v>
      </c>
      <c r="E217" t="n">
        <v>58.27</v>
      </c>
      <c r="F217" t="n">
        <v>197989.51</v>
      </c>
      <c r="G217" t="n">
        <v>104219.91</v>
      </c>
      <c r="H217" t="inlineStr">
        <is>
          <t>2023-02-28</t>
        </is>
      </c>
      <c r="I217" t="inlineStr">
        <is>
          <t>verified_original_html</t>
        </is>
      </c>
      <c r="J217" t="inlineStr">
        <is>
          <t>https://www.shzfgjj.cn/html/newxxgk/ywsjtj/213599.html</t>
        </is>
      </c>
    </row>
    <row r="218">
      <c r="A218" t="n">
        <v>2023</v>
      </c>
      <c r="B218" t="n">
        <v>2</v>
      </c>
      <c r="C218" t="inlineStr">
        <is>
          <t>宝山</t>
        </is>
      </c>
      <c r="D218" t="n">
        <v>3.62</v>
      </c>
      <c r="E218" t="n">
        <v>40.24</v>
      </c>
      <c r="F218" t="n">
        <v>146801.85</v>
      </c>
      <c r="G218" t="n">
        <v>84794.17999999999</v>
      </c>
      <c r="H218" t="inlineStr">
        <is>
          <t>2023-02-28</t>
        </is>
      </c>
      <c r="I218" t="inlineStr">
        <is>
          <t>verified_original_html</t>
        </is>
      </c>
      <c r="J218" t="inlineStr">
        <is>
          <t>https://www.shzfgjj.cn/html/newxxgk/ywsjtj/213599.html</t>
        </is>
      </c>
    </row>
    <row r="219">
      <c r="A219" t="n">
        <v>2023</v>
      </c>
      <c r="B219" t="n">
        <v>2</v>
      </c>
      <c r="C219" t="inlineStr">
        <is>
          <t>嘉定</t>
        </is>
      </c>
      <c r="D219" t="n">
        <v>3.08</v>
      </c>
      <c r="E219" t="n">
        <v>39.9</v>
      </c>
      <c r="F219" t="n">
        <v>152337.44</v>
      </c>
      <c r="G219" t="n">
        <v>80413.25999999999</v>
      </c>
      <c r="H219" t="inlineStr">
        <is>
          <t>2023-02-28</t>
        </is>
      </c>
      <c r="I219" t="inlineStr">
        <is>
          <t>verified_original_html</t>
        </is>
      </c>
      <c r="J219" t="inlineStr">
        <is>
          <t>https://www.shzfgjj.cn/html/newxxgk/ywsjtj/213599.html</t>
        </is>
      </c>
    </row>
    <row r="220">
      <c r="A220" t="n">
        <v>2023</v>
      </c>
      <c r="B220" t="n">
        <v>2</v>
      </c>
      <c r="C220" t="inlineStr">
        <is>
          <t>浦东</t>
        </is>
      </c>
      <c r="D220" t="n">
        <v>9.69</v>
      </c>
      <c r="E220" t="n">
        <v>163.57</v>
      </c>
      <c r="F220" t="n">
        <v>739722.79</v>
      </c>
      <c r="G220" t="n">
        <v>391337.62</v>
      </c>
      <c r="H220" t="inlineStr">
        <is>
          <t>2023-02-28</t>
        </is>
      </c>
      <c r="I220" t="inlineStr">
        <is>
          <t>verified_original_html</t>
        </is>
      </c>
      <c r="J220" t="inlineStr">
        <is>
          <t>https://www.shzfgjj.cn/html/newxxgk/ywsjtj/213599.html</t>
        </is>
      </c>
    </row>
    <row r="221">
      <c r="A221" t="n">
        <v>2023</v>
      </c>
      <c r="B221" t="n">
        <v>2</v>
      </c>
      <c r="C221" t="inlineStr">
        <is>
          <t>奉贤</t>
        </is>
      </c>
      <c r="D221" t="n">
        <v>2.03</v>
      </c>
      <c r="E221" t="n">
        <v>21.63</v>
      </c>
      <c r="F221" t="n">
        <v>64214.24</v>
      </c>
      <c r="G221" t="n">
        <v>32055.6</v>
      </c>
      <c r="H221" t="inlineStr">
        <is>
          <t>2023-02-28</t>
        </is>
      </c>
      <c r="I221" t="inlineStr">
        <is>
          <t>verified_original_html</t>
        </is>
      </c>
      <c r="J221" t="inlineStr">
        <is>
          <t>https://www.shzfgjj.cn/html/newxxgk/ywsjtj/213599.html</t>
        </is>
      </c>
    </row>
    <row r="222">
      <c r="A222" t="n">
        <v>2023</v>
      </c>
      <c r="B222" t="n">
        <v>2</v>
      </c>
      <c r="C222" t="inlineStr">
        <is>
          <t>松江</t>
        </is>
      </c>
      <c r="D222" t="n">
        <v>3.38</v>
      </c>
      <c r="E222" t="n">
        <v>40</v>
      </c>
      <c r="F222" t="n">
        <v>110795.91</v>
      </c>
      <c r="G222" t="n">
        <v>57436.34</v>
      </c>
      <c r="H222" t="inlineStr">
        <is>
          <t>2023-02-28</t>
        </is>
      </c>
      <c r="I222" t="inlineStr">
        <is>
          <t>verified_original_html</t>
        </is>
      </c>
      <c r="J222" t="inlineStr">
        <is>
          <t>https://www.shzfgjj.cn/html/newxxgk/ywsjtj/213599.html</t>
        </is>
      </c>
    </row>
    <row r="223">
      <c r="A223" t="n">
        <v>2023</v>
      </c>
      <c r="B223" t="n">
        <v>2</v>
      </c>
      <c r="C223" t="inlineStr">
        <is>
          <t>金山</t>
        </is>
      </c>
      <c r="D223" t="n">
        <v>1.46</v>
      </c>
      <c r="E223" t="n">
        <v>19.79</v>
      </c>
      <c r="F223" t="n">
        <v>62319.28</v>
      </c>
      <c r="G223" t="n">
        <v>33973.8</v>
      </c>
      <c r="H223" t="inlineStr">
        <is>
          <t>2023-02-28</t>
        </is>
      </c>
      <c r="I223" t="inlineStr">
        <is>
          <t>verified_original_html</t>
        </is>
      </c>
      <c r="J223" t="inlineStr">
        <is>
          <t>https://www.shzfgjj.cn/html/newxxgk/ywsjtj/213599.html</t>
        </is>
      </c>
    </row>
    <row r="224">
      <c r="A224" t="n">
        <v>2023</v>
      </c>
      <c r="B224" t="n">
        <v>2</v>
      </c>
      <c r="C224" t="inlineStr">
        <is>
          <t>青浦</t>
        </is>
      </c>
      <c r="D224" t="n">
        <v>1.81</v>
      </c>
      <c r="E224" t="n">
        <v>26.11</v>
      </c>
      <c r="F224" t="n">
        <v>79311.00999999999</v>
      </c>
      <c r="G224" t="n">
        <v>39929.6</v>
      </c>
      <c r="H224" t="inlineStr">
        <is>
          <t>2023-02-28</t>
        </is>
      </c>
      <c r="I224" t="inlineStr">
        <is>
          <t>verified_original_html</t>
        </is>
      </c>
      <c r="J224" t="inlineStr">
        <is>
          <t>https://www.shzfgjj.cn/html/newxxgk/ywsjtj/213599.html</t>
        </is>
      </c>
    </row>
    <row r="225">
      <c r="A225" t="n">
        <v>2023</v>
      </c>
      <c r="B225" t="n">
        <v>2</v>
      </c>
      <c r="C225" t="inlineStr">
        <is>
          <t>崇明</t>
        </is>
      </c>
      <c r="D225" t="n">
        <v>0.38</v>
      </c>
      <c r="E225" t="n">
        <v>7.27</v>
      </c>
      <c r="F225" t="n">
        <v>26499.69</v>
      </c>
      <c r="G225" t="n">
        <v>15162.65</v>
      </c>
      <c r="H225" t="inlineStr">
        <is>
          <t>2023-02-28</t>
        </is>
      </c>
      <c r="I225" t="inlineStr">
        <is>
          <t>verified_original_html</t>
        </is>
      </c>
      <c r="J225" t="inlineStr">
        <is>
          <t>https://www.shzfgjj.cn/html/newxxgk/ywsjtj/213599.html</t>
        </is>
      </c>
    </row>
    <row r="226">
      <c r="A226" t="n">
        <v>2023</v>
      </c>
      <c r="B226" t="n">
        <v>3</v>
      </c>
      <c r="C226" t="inlineStr">
        <is>
          <t>黄浦</t>
        </is>
      </c>
      <c r="D226" t="n">
        <v>3.47</v>
      </c>
      <c r="E226" t="n">
        <v>121.08</v>
      </c>
      <c r="F226" t="n">
        <v>1250467.08</v>
      </c>
      <c r="G226" t="n">
        <v>1122615.38</v>
      </c>
      <c r="H226" t="inlineStr">
        <is>
          <t>2023-03-31</t>
        </is>
      </c>
      <c r="I226" t="inlineStr">
        <is>
          <t>verified_original_html</t>
        </is>
      </c>
      <c r="J226" t="inlineStr">
        <is>
          <t>https://www.shzfgjj.cn/html/newxxgk/ywsjtj/214083.html</t>
        </is>
      </c>
    </row>
    <row r="227">
      <c r="A227" t="n">
        <v>2023</v>
      </c>
      <c r="B227" t="n">
        <v>3</v>
      </c>
      <c r="C227" t="inlineStr">
        <is>
          <t>徐汇</t>
        </is>
      </c>
      <c r="D227" t="n">
        <v>5.16</v>
      </c>
      <c r="E227" t="n">
        <v>90.77</v>
      </c>
      <c r="F227" t="n">
        <v>717819.14</v>
      </c>
      <c r="G227" t="n">
        <v>381920.87</v>
      </c>
      <c r="H227" t="inlineStr">
        <is>
          <t>2023-03-31</t>
        </is>
      </c>
      <c r="I227" t="inlineStr">
        <is>
          <t>verified_original_html</t>
        </is>
      </c>
      <c r="J227" t="inlineStr">
        <is>
          <t>https://www.shzfgjj.cn/html/newxxgk/ywsjtj/214083.html</t>
        </is>
      </c>
    </row>
    <row r="228">
      <c r="A228" t="n">
        <v>2023</v>
      </c>
      <c r="B228" t="n">
        <v>3</v>
      </c>
      <c r="C228" t="inlineStr">
        <is>
          <t>长宁</t>
        </is>
      </c>
      <c r="D228" t="n">
        <v>2.48</v>
      </c>
      <c r="E228" t="n">
        <v>55.19</v>
      </c>
      <c r="F228" t="n">
        <v>405114.72</v>
      </c>
      <c r="G228" t="n">
        <v>220068.54</v>
      </c>
      <c r="H228" t="inlineStr">
        <is>
          <t>2023-03-31</t>
        </is>
      </c>
      <c r="I228" t="inlineStr">
        <is>
          <t>verified_original_html</t>
        </is>
      </c>
      <c r="J228" t="inlineStr">
        <is>
          <t>https://www.shzfgjj.cn/html/newxxgk/ywsjtj/214083.html</t>
        </is>
      </c>
    </row>
    <row r="229">
      <c r="A229" t="n">
        <v>2023</v>
      </c>
      <c r="B229" t="n">
        <v>3</v>
      </c>
      <c r="C229" t="inlineStr">
        <is>
          <t>静安</t>
        </is>
      </c>
      <c r="D229" t="n">
        <v>3.73</v>
      </c>
      <c r="E229" t="n">
        <v>63.47</v>
      </c>
      <c r="F229" t="n">
        <v>418921.4</v>
      </c>
      <c r="G229" t="n">
        <v>233490.5</v>
      </c>
      <c r="H229" t="inlineStr">
        <is>
          <t>2023-03-31</t>
        </is>
      </c>
      <c r="I229" t="inlineStr">
        <is>
          <t>verified_original_html</t>
        </is>
      </c>
      <c r="J229" t="inlineStr">
        <is>
          <t>https://www.shzfgjj.cn/html/newxxgk/ywsjtj/214083.html</t>
        </is>
      </c>
    </row>
    <row r="230">
      <c r="A230" t="n">
        <v>2023</v>
      </c>
      <c r="B230" t="n">
        <v>3</v>
      </c>
      <c r="C230" t="inlineStr">
        <is>
          <t>普陀</t>
        </is>
      </c>
      <c r="D230" t="n">
        <v>3.5</v>
      </c>
      <c r="E230" t="n">
        <v>35.49</v>
      </c>
      <c r="F230" t="n">
        <v>179786.43</v>
      </c>
      <c r="G230" t="n">
        <v>99344.28999999999</v>
      </c>
      <c r="H230" t="inlineStr">
        <is>
          <t>2023-03-31</t>
        </is>
      </c>
      <c r="I230" t="inlineStr">
        <is>
          <t>verified_original_html</t>
        </is>
      </c>
      <c r="J230" t="inlineStr">
        <is>
          <t>https://www.shzfgjj.cn/html/newxxgk/ywsjtj/214083.html</t>
        </is>
      </c>
    </row>
    <row r="231">
      <c r="A231" t="n">
        <v>2023</v>
      </c>
      <c r="B231" t="n">
        <v>3</v>
      </c>
      <c r="C231" t="inlineStr">
        <is>
          <t>虹口</t>
        </is>
      </c>
      <c r="D231" t="n">
        <v>2.34</v>
      </c>
      <c r="E231" t="n">
        <v>29.76</v>
      </c>
      <c r="F231" t="n">
        <v>182529.44</v>
      </c>
      <c r="G231" t="n">
        <v>104000.01</v>
      </c>
      <c r="H231" t="inlineStr">
        <is>
          <t>2023-03-31</t>
        </is>
      </c>
      <c r="I231" t="inlineStr">
        <is>
          <t>verified_original_html</t>
        </is>
      </c>
      <c r="J231" t="inlineStr">
        <is>
          <t>https://www.shzfgjj.cn/html/newxxgk/ywsjtj/214083.html</t>
        </is>
      </c>
    </row>
    <row r="232">
      <c r="A232" t="n">
        <v>2023</v>
      </c>
      <c r="B232" t="n">
        <v>3</v>
      </c>
      <c r="C232" t="inlineStr">
        <is>
          <t>杨浦</t>
        </is>
      </c>
      <c r="D232" t="n">
        <v>2.43</v>
      </c>
      <c r="E232" t="n">
        <v>33.81</v>
      </c>
      <c r="F232" t="n">
        <v>241556.47</v>
      </c>
      <c r="G232" t="n">
        <v>133257.16</v>
      </c>
      <c r="H232" t="inlineStr">
        <is>
          <t>2023-03-31</t>
        </is>
      </c>
      <c r="I232" t="inlineStr">
        <is>
          <t>verified_original_html</t>
        </is>
      </c>
      <c r="J232" t="inlineStr">
        <is>
          <t>https://www.shzfgjj.cn/html/newxxgk/ywsjtj/214083.html</t>
        </is>
      </c>
    </row>
    <row r="233">
      <c r="A233" t="n">
        <v>2023</v>
      </c>
      <c r="B233" t="n">
        <v>3</v>
      </c>
      <c r="C233" t="inlineStr">
        <is>
          <t>闵行</t>
        </is>
      </c>
      <c r="D233" t="n">
        <v>5.93</v>
      </c>
      <c r="E233" t="n">
        <v>58.62</v>
      </c>
      <c r="F233" t="n">
        <v>297056.38</v>
      </c>
      <c r="G233" t="n">
        <v>157448.16</v>
      </c>
      <c r="H233" t="inlineStr">
        <is>
          <t>2023-03-31</t>
        </is>
      </c>
      <c r="I233" t="inlineStr">
        <is>
          <t>verified_original_html</t>
        </is>
      </c>
      <c r="J233" t="inlineStr">
        <is>
          <t>https://www.shzfgjj.cn/html/newxxgk/ywsjtj/214083.html</t>
        </is>
      </c>
    </row>
    <row r="234">
      <c r="A234" t="n">
        <v>2023</v>
      </c>
      <c r="B234" t="n">
        <v>3</v>
      </c>
      <c r="C234" t="inlineStr">
        <is>
          <t>宝山</t>
        </is>
      </c>
      <c r="D234" t="n">
        <v>3.64</v>
      </c>
      <c r="E234" t="n">
        <v>40.21</v>
      </c>
      <c r="F234" t="n">
        <v>221460.91</v>
      </c>
      <c r="G234" t="n">
        <v>129347.47</v>
      </c>
      <c r="H234" t="inlineStr">
        <is>
          <t>2023-03-31</t>
        </is>
      </c>
      <c r="I234" t="inlineStr">
        <is>
          <t>verified_original_html</t>
        </is>
      </c>
      <c r="J234" t="inlineStr">
        <is>
          <t>https://www.shzfgjj.cn/html/newxxgk/ywsjtj/214083.html</t>
        </is>
      </c>
    </row>
    <row r="235">
      <c r="A235" t="n">
        <v>2023</v>
      </c>
      <c r="B235" t="n">
        <v>3</v>
      </c>
      <c r="C235" t="inlineStr">
        <is>
          <t>嘉定</t>
        </is>
      </c>
      <c r="D235" t="n">
        <v>3.1</v>
      </c>
      <c r="E235" t="n">
        <v>40.11</v>
      </c>
      <c r="F235" t="n">
        <v>228782.55</v>
      </c>
      <c r="G235" t="n">
        <v>120779.71</v>
      </c>
      <c r="H235" t="inlineStr">
        <is>
          <t>2023-03-31</t>
        </is>
      </c>
      <c r="I235" t="inlineStr">
        <is>
          <t>verified_original_html</t>
        </is>
      </c>
      <c r="J235" t="inlineStr">
        <is>
          <t>https://www.shzfgjj.cn/html/newxxgk/ywsjtj/214083.html</t>
        </is>
      </c>
    </row>
    <row r="236">
      <c r="A236" t="n">
        <v>2023</v>
      </c>
      <c r="B236" t="n">
        <v>3</v>
      </c>
      <c r="C236" t="inlineStr">
        <is>
          <t>浦东</t>
        </is>
      </c>
      <c r="D236" t="n">
        <v>9.73</v>
      </c>
      <c r="E236" t="n">
        <v>163.59</v>
      </c>
      <c r="F236" t="n">
        <v>1112915.24</v>
      </c>
      <c r="G236" t="n">
        <v>592155.92</v>
      </c>
      <c r="H236" t="inlineStr">
        <is>
          <t>2023-03-31</t>
        </is>
      </c>
      <c r="I236" t="inlineStr">
        <is>
          <t>verified_original_html</t>
        </is>
      </c>
      <c r="J236" t="inlineStr">
        <is>
          <t>https://www.shzfgjj.cn/html/newxxgk/ywsjtj/214083.html</t>
        </is>
      </c>
    </row>
    <row r="237">
      <c r="A237" t="n">
        <v>2023</v>
      </c>
      <c r="B237" t="n">
        <v>3</v>
      </c>
      <c r="C237" t="inlineStr">
        <is>
          <t>奉贤</t>
        </is>
      </c>
      <c r="D237" t="n">
        <v>2.06</v>
      </c>
      <c r="E237" t="n">
        <v>21.68</v>
      </c>
      <c r="F237" t="n">
        <v>97494.02</v>
      </c>
      <c r="G237" t="n">
        <v>49141.75</v>
      </c>
      <c r="H237" t="inlineStr">
        <is>
          <t>2023-03-31</t>
        </is>
      </c>
      <c r="I237" t="inlineStr">
        <is>
          <t>verified_original_html</t>
        </is>
      </c>
      <c r="J237" t="inlineStr">
        <is>
          <t>https://www.shzfgjj.cn/html/newxxgk/ywsjtj/214083.html</t>
        </is>
      </c>
    </row>
    <row r="238">
      <c r="A238" t="n">
        <v>2023</v>
      </c>
      <c r="B238" t="n">
        <v>3</v>
      </c>
      <c r="C238" t="inlineStr">
        <is>
          <t>松江</t>
        </is>
      </c>
      <c r="D238" t="n">
        <v>3.4</v>
      </c>
      <c r="E238" t="n">
        <v>40.11</v>
      </c>
      <c r="F238" t="n">
        <v>166167.85</v>
      </c>
      <c r="G238" t="n">
        <v>87001.25999999999</v>
      </c>
      <c r="H238" t="inlineStr">
        <is>
          <t>2023-03-31</t>
        </is>
      </c>
      <c r="I238" t="inlineStr">
        <is>
          <t>verified_original_html</t>
        </is>
      </c>
      <c r="J238" t="inlineStr">
        <is>
          <t>https://www.shzfgjj.cn/html/newxxgk/ywsjtj/214083.html</t>
        </is>
      </c>
    </row>
    <row r="239">
      <c r="A239" t="n">
        <v>2023</v>
      </c>
      <c r="B239" t="n">
        <v>3</v>
      </c>
      <c r="C239" t="inlineStr">
        <is>
          <t>金山</t>
        </is>
      </c>
      <c r="D239" t="n">
        <v>1.47</v>
      </c>
      <c r="E239" t="n">
        <v>19.82</v>
      </c>
      <c r="F239" t="n">
        <v>93736.82000000001</v>
      </c>
      <c r="G239" t="n">
        <v>52246.6</v>
      </c>
      <c r="H239" t="inlineStr">
        <is>
          <t>2023-03-31</t>
        </is>
      </c>
      <c r="I239" t="inlineStr">
        <is>
          <t>verified_original_html</t>
        </is>
      </c>
      <c r="J239" t="inlineStr">
        <is>
          <t>https://www.shzfgjj.cn/html/newxxgk/ywsjtj/214083.html</t>
        </is>
      </c>
    </row>
    <row r="240">
      <c r="A240" t="n">
        <v>2023</v>
      </c>
      <c r="B240" t="n">
        <v>3</v>
      </c>
      <c r="C240" t="inlineStr">
        <is>
          <t>青浦</t>
        </is>
      </c>
      <c r="D240" t="n">
        <v>1.82</v>
      </c>
      <c r="E240" t="n">
        <v>26.12</v>
      </c>
      <c r="F240" t="n">
        <v>118515.8</v>
      </c>
      <c r="G240" t="n">
        <v>59852.03</v>
      </c>
      <c r="H240" t="inlineStr">
        <is>
          <t>2023-03-31</t>
        </is>
      </c>
      <c r="I240" t="inlineStr">
        <is>
          <t>verified_original_html</t>
        </is>
      </c>
      <c r="J240" t="inlineStr">
        <is>
          <t>https://www.shzfgjj.cn/html/newxxgk/ywsjtj/214083.html</t>
        </is>
      </c>
    </row>
    <row r="241">
      <c r="A241" t="n">
        <v>2023</v>
      </c>
      <c r="B241" t="n">
        <v>3</v>
      </c>
      <c r="C241" t="inlineStr">
        <is>
          <t>崇明</t>
        </is>
      </c>
      <c r="D241" t="n">
        <v>0.38</v>
      </c>
      <c r="E241" t="n">
        <v>7.31</v>
      </c>
      <c r="F241" t="n">
        <v>39821.34</v>
      </c>
      <c r="G241" t="n">
        <v>23529.3</v>
      </c>
      <c r="H241" t="inlineStr">
        <is>
          <t>2023-03-31</t>
        </is>
      </c>
      <c r="I241" t="inlineStr">
        <is>
          <t>verified_original_html</t>
        </is>
      </c>
      <c r="J241" t="inlineStr">
        <is>
          <t>https://www.shzfgjj.cn/html/newxxgk/ywsjtj/214083.html</t>
        </is>
      </c>
    </row>
    <row r="242">
      <c r="A242" t="n">
        <v>2023</v>
      </c>
      <c r="B242" t="n">
        <v>4</v>
      </c>
      <c r="C242" t="inlineStr">
        <is>
          <t>黄浦</t>
        </is>
      </c>
      <c r="D242" t="n">
        <v>3.47</v>
      </c>
      <c r="E242" t="n">
        <v>121.02</v>
      </c>
      <c r="F242" t="n">
        <v>1663087.41</v>
      </c>
      <c r="G242" t="n">
        <v>1741391.58</v>
      </c>
      <c r="H242" t="inlineStr">
        <is>
          <t>2023-04-30</t>
        </is>
      </c>
      <c r="I242" t="inlineStr">
        <is>
          <t>verified_original_html</t>
        </is>
      </c>
      <c r="J242" t="inlineStr">
        <is>
          <t>https://www.shzfgjj.cn/html/newxxgk/ywsjtj/214505.html</t>
        </is>
      </c>
    </row>
    <row r="243">
      <c r="A243" t="n">
        <v>2023</v>
      </c>
      <c r="B243" t="n">
        <v>4</v>
      </c>
      <c r="C243" t="inlineStr">
        <is>
          <t>徐汇</t>
        </is>
      </c>
      <c r="D243" t="n">
        <v>5.18</v>
      </c>
      <c r="E243" t="n">
        <v>91.06</v>
      </c>
      <c r="F243" t="n">
        <v>941088.63</v>
      </c>
      <c r="G243" t="n">
        <v>623920.98</v>
      </c>
      <c r="H243" t="inlineStr">
        <is>
          <t>2023-04-30</t>
        </is>
      </c>
      <c r="I243" t="inlineStr">
        <is>
          <t>verified_original_html</t>
        </is>
      </c>
      <c r="J243" t="inlineStr">
        <is>
          <t>https://www.shzfgjj.cn/html/newxxgk/ywsjtj/214505.html</t>
        </is>
      </c>
    </row>
    <row r="244">
      <c r="A244" t="n">
        <v>2023</v>
      </c>
      <c r="B244" t="n">
        <v>4</v>
      </c>
      <c r="C244" t="inlineStr">
        <is>
          <t>长宁</t>
        </is>
      </c>
      <c r="D244" t="n">
        <v>2.47</v>
      </c>
      <c r="E244" t="n">
        <v>55.21</v>
      </c>
      <c r="F244" t="n">
        <v>534401.0699999999</v>
      </c>
      <c r="G244" t="n">
        <v>355204.65</v>
      </c>
      <c r="H244" t="inlineStr">
        <is>
          <t>2023-04-30</t>
        </is>
      </c>
      <c r="I244" t="inlineStr">
        <is>
          <t>verified_original_html</t>
        </is>
      </c>
      <c r="J244" t="inlineStr">
        <is>
          <t>https://www.shzfgjj.cn/html/newxxgk/ywsjtj/214505.html</t>
        </is>
      </c>
    </row>
    <row r="245">
      <c r="A245" t="n">
        <v>2023</v>
      </c>
      <c r="B245" t="n">
        <v>4</v>
      </c>
      <c r="C245" t="inlineStr">
        <is>
          <t>静安</t>
        </is>
      </c>
      <c r="D245" t="n">
        <v>3.74</v>
      </c>
      <c r="E245" t="n">
        <v>63.28</v>
      </c>
      <c r="F245" t="n">
        <v>553127.2</v>
      </c>
      <c r="G245" t="n">
        <v>373513.55</v>
      </c>
      <c r="H245" t="inlineStr">
        <is>
          <t>2023-04-30</t>
        </is>
      </c>
      <c r="I245" t="inlineStr">
        <is>
          <t>verified_original_html</t>
        </is>
      </c>
      <c r="J245" t="inlineStr">
        <is>
          <t>https://www.shzfgjj.cn/html/newxxgk/ywsjtj/214505.html</t>
        </is>
      </c>
    </row>
    <row r="246">
      <c r="A246" t="n">
        <v>2023</v>
      </c>
      <c r="B246" t="n">
        <v>4</v>
      </c>
      <c r="C246" t="inlineStr">
        <is>
          <t>普陀</t>
        </is>
      </c>
      <c r="D246" t="n">
        <v>3.52</v>
      </c>
      <c r="E246" t="n">
        <v>35.54</v>
      </c>
      <c r="F246" t="n">
        <v>239811.41</v>
      </c>
      <c r="G246" t="n">
        <v>159135.8</v>
      </c>
      <c r="H246" t="inlineStr">
        <is>
          <t>2023-04-30</t>
        </is>
      </c>
      <c r="I246" t="inlineStr">
        <is>
          <t>verified_original_html</t>
        </is>
      </c>
      <c r="J246" t="inlineStr">
        <is>
          <t>https://www.shzfgjj.cn/html/newxxgk/ywsjtj/214505.html</t>
        </is>
      </c>
    </row>
    <row r="247">
      <c r="A247" t="n">
        <v>2023</v>
      </c>
      <c r="B247" t="n">
        <v>4</v>
      </c>
      <c r="C247" t="inlineStr">
        <is>
          <t>虹口</t>
        </is>
      </c>
      <c r="D247" t="n">
        <v>2.34</v>
      </c>
      <c r="E247" t="n">
        <v>29.7</v>
      </c>
      <c r="F247" t="n">
        <v>242298.54</v>
      </c>
      <c r="G247" t="n">
        <v>171139.26</v>
      </c>
      <c r="H247" t="inlineStr">
        <is>
          <t>2023-04-30</t>
        </is>
      </c>
      <c r="I247" t="inlineStr">
        <is>
          <t>verified_original_html</t>
        </is>
      </c>
      <c r="J247" t="inlineStr">
        <is>
          <t>https://www.shzfgjj.cn/html/newxxgk/ywsjtj/214505.html</t>
        </is>
      </c>
    </row>
    <row r="248">
      <c r="A248" t="n">
        <v>2023</v>
      </c>
      <c r="B248" t="n">
        <v>4</v>
      </c>
      <c r="C248" t="inlineStr">
        <is>
          <t>杨浦</t>
        </is>
      </c>
      <c r="D248" t="n">
        <v>2.43</v>
      </c>
      <c r="E248" t="n">
        <v>33.85</v>
      </c>
      <c r="F248" t="n">
        <v>320205.66</v>
      </c>
      <c r="G248" t="n">
        <v>212409.83</v>
      </c>
      <c r="H248" t="inlineStr">
        <is>
          <t>2023-04-30</t>
        </is>
      </c>
      <c r="I248" t="inlineStr">
        <is>
          <t>verified_original_html</t>
        </is>
      </c>
      <c r="J248" t="inlineStr">
        <is>
          <t>https://www.shzfgjj.cn/html/newxxgk/ywsjtj/214505.html</t>
        </is>
      </c>
    </row>
    <row r="249">
      <c r="A249" t="n">
        <v>2023</v>
      </c>
      <c r="B249" t="n">
        <v>4</v>
      </c>
      <c r="C249" t="inlineStr">
        <is>
          <t>闵行</t>
        </is>
      </c>
      <c r="D249" t="n">
        <v>6</v>
      </c>
      <c r="E249" t="n">
        <v>59.07</v>
      </c>
      <c r="F249" t="n">
        <v>394947.34</v>
      </c>
      <c r="G249" t="n">
        <v>259626.36</v>
      </c>
      <c r="H249" t="inlineStr">
        <is>
          <t>2023-04-30</t>
        </is>
      </c>
      <c r="I249" t="inlineStr">
        <is>
          <t>verified_original_html</t>
        </is>
      </c>
      <c r="J249" t="inlineStr">
        <is>
          <t>https://www.shzfgjj.cn/html/newxxgk/ywsjtj/214505.html</t>
        </is>
      </c>
    </row>
    <row r="250">
      <c r="A250" t="n">
        <v>2023</v>
      </c>
      <c r="B250" t="n">
        <v>4</v>
      </c>
      <c r="C250" t="inlineStr">
        <is>
          <t>宝山</t>
        </is>
      </c>
      <c r="D250" t="n">
        <v>3.67</v>
      </c>
      <c r="E250" t="n">
        <v>40.18</v>
      </c>
      <c r="F250" t="n">
        <v>294184.88</v>
      </c>
      <c r="G250" t="n">
        <v>217148.19</v>
      </c>
      <c r="H250" t="inlineStr">
        <is>
          <t>2023-04-30</t>
        </is>
      </c>
      <c r="I250" t="inlineStr">
        <is>
          <t>verified_original_html</t>
        </is>
      </c>
      <c r="J250" t="inlineStr">
        <is>
          <t>https://www.shzfgjj.cn/html/newxxgk/ywsjtj/214505.html</t>
        </is>
      </c>
    </row>
    <row r="251">
      <c r="A251" t="n">
        <v>2023</v>
      </c>
      <c r="B251" t="n">
        <v>4</v>
      </c>
      <c r="C251" t="inlineStr">
        <is>
          <t>嘉定</t>
        </is>
      </c>
      <c r="D251" t="n">
        <v>3.12</v>
      </c>
      <c r="E251" t="n">
        <v>40.1</v>
      </c>
      <c r="F251" t="n">
        <v>304092.3</v>
      </c>
      <c r="G251" t="n">
        <v>202860.88</v>
      </c>
      <c r="H251" t="inlineStr">
        <is>
          <t>2023-04-30</t>
        </is>
      </c>
      <c r="I251" t="inlineStr">
        <is>
          <t>verified_original_html</t>
        </is>
      </c>
      <c r="J251" t="inlineStr">
        <is>
          <t>https://www.shzfgjj.cn/html/newxxgk/ywsjtj/214505.html</t>
        </is>
      </c>
    </row>
    <row r="252">
      <c r="A252" t="n">
        <v>2023</v>
      </c>
      <c r="B252" t="n">
        <v>4</v>
      </c>
      <c r="C252" t="inlineStr">
        <is>
          <t>浦东</t>
        </is>
      </c>
      <c r="D252" t="n">
        <v>9.779999999999999</v>
      </c>
      <c r="E252" t="n">
        <v>163.43</v>
      </c>
      <c r="F252" t="n">
        <v>1475365.28</v>
      </c>
      <c r="G252" t="n">
        <v>960380.08</v>
      </c>
      <c r="H252" t="inlineStr">
        <is>
          <t>2023-04-30</t>
        </is>
      </c>
      <c r="I252" t="inlineStr">
        <is>
          <t>verified_original_html</t>
        </is>
      </c>
      <c r="J252" t="inlineStr">
        <is>
          <t>https://www.shzfgjj.cn/html/newxxgk/ywsjtj/214505.html</t>
        </is>
      </c>
    </row>
    <row r="253">
      <c r="A253" t="n">
        <v>2023</v>
      </c>
      <c r="B253" t="n">
        <v>4</v>
      </c>
      <c r="C253" t="inlineStr">
        <is>
          <t>奉贤</t>
        </is>
      </c>
      <c r="D253" t="n">
        <v>2.07</v>
      </c>
      <c r="E253" t="n">
        <v>21.73</v>
      </c>
      <c r="F253" t="n">
        <v>129362.06</v>
      </c>
      <c r="G253" t="n">
        <v>90918.87</v>
      </c>
      <c r="H253" t="inlineStr">
        <is>
          <t>2023-04-30</t>
        </is>
      </c>
      <c r="I253" t="inlineStr">
        <is>
          <t>verified_original_html</t>
        </is>
      </c>
      <c r="J253" t="inlineStr">
        <is>
          <t>https://www.shzfgjj.cn/html/newxxgk/ywsjtj/214505.html</t>
        </is>
      </c>
    </row>
    <row r="254">
      <c r="A254" t="n">
        <v>2023</v>
      </c>
      <c r="B254" t="n">
        <v>4</v>
      </c>
      <c r="C254" t="inlineStr">
        <is>
          <t>松江</t>
        </is>
      </c>
      <c r="D254" t="n">
        <v>3.42</v>
      </c>
      <c r="E254" t="n">
        <v>40.13</v>
      </c>
      <c r="F254" t="n">
        <v>220610.19</v>
      </c>
      <c r="G254" t="n">
        <v>147619.71</v>
      </c>
      <c r="H254" t="inlineStr">
        <is>
          <t>2023-04-30</t>
        </is>
      </c>
      <c r="I254" t="inlineStr">
        <is>
          <t>verified_original_html</t>
        </is>
      </c>
      <c r="J254" t="inlineStr">
        <is>
          <t>https://www.shzfgjj.cn/html/newxxgk/ywsjtj/214505.html</t>
        </is>
      </c>
    </row>
    <row r="255">
      <c r="A255" t="n">
        <v>2023</v>
      </c>
      <c r="B255" t="n">
        <v>4</v>
      </c>
      <c r="C255" t="inlineStr">
        <is>
          <t>金山</t>
        </is>
      </c>
      <c r="D255" t="n">
        <v>1.47</v>
      </c>
      <c r="E255" t="n">
        <v>19.84</v>
      </c>
      <c r="F255" t="n">
        <v>124600.77</v>
      </c>
      <c r="G255" t="n">
        <v>95379.14999999999</v>
      </c>
      <c r="H255" t="inlineStr">
        <is>
          <t>2023-04-30</t>
        </is>
      </c>
      <c r="I255" t="inlineStr">
        <is>
          <t>verified_original_html</t>
        </is>
      </c>
      <c r="J255" t="inlineStr">
        <is>
          <t>https://www.shzfgjj.cn/html/newxxgk/ywsjtj/214505.html</t>
        </is>
      </c>
    </row>
    <row r="256">
      <c r="A256" t="n">
        <v>2023</v>
      </c>
      <c r="B256" t="n">
        <v>4</v>
      </c>
      <c r="C256" t="inlineStr">
        <is>
          <t>青浦</t>
        </is>
      </c>
      <c r="D256" t="n">
        <v>1.83</v>
      </c>
      <c r="E256" t="n">
        <v>26.08</v>
      </c>
      <c r="F256" t="n">
        <v>157040.41</v>
      </c>
      <c r="G256" t="n">
        <v>99509.12</v>
      </c>
      <c r="H256" t="inlineStr">
        <is>
          <t>2023-04-30</t>
        </is>
      </c>
      <c r="I256" t="inlineStr">
        <is>
          <t>verified_original_html</t>
        </is>
      </c>
      <c r="J256" t="inlineStr">
        <is>
          <t>https://www.shzfgjj.cn/html/newxxgk/ywsjtj/214505.html</t>
        </is>
      </c>
    </row>
    <row r="257">
      <c r="A257" t="n">
        <v>2023</v>
      </c>
      <c r="B257" t="n">
        <v>4</v>
      </c>
      <c r="C257" t="inlineStr">
        <is>
          <t>崇明</t>
        </is>
      </c>
      <c r="D257" t="n">
        <v>0.38</v>
      </c>
      <c r="E257" t="n">
        <v>7.3</v>
      </c>
      <c r="F257" t="n">
        <v>52963.11</v>
      </c>
      <c r="G257" t="n">
        <v>40892.71</v>
      </c>
      <c r="H257" t="inlineStr">
        <is>
          <t>2023-04-30</t>
        </is>
      </c>
      <c r="I257" t="inlineStr">
        <is>
          <t>verified_original_html</t>
        </is>
      </c>
      <c r="J257" t="inlineStr">
        <is>
          <t>https://www.shzfgjj.cn/html/newxxgk/ywsjtj/214505.html</t>
        </is>
      </c>
    </row>
    <row r="258">
      <c r="A258" t="n">
        <v>2023</v>
      </c>
      <c r="B258" t="n">
        <v>5</v>
      </c>
      <c r="C258" t="inlineStr">
        <is>
          <t>黄浦</t>
        </is>
      </c>
      <c r="D258" t="n">
        <v>3.49</v>
      </c>
      <c r="E258" t="n">
        <v>120.99</v>
      </c>
      <c r="F258" t="n">
        <v>2071921.83</v>
      </c>
      <c r="G258" t="n">
        <v>2113200.39</v>
      </c>
      <c r="H258" t="inlineStr">
        <is>
          <t>2023-05-31</t>
        </is>
      </c>
      <c r="I258" t="inlineStr">
        <is>
          <t>verified_original_html</t>
        </is>
      </c>
      <c r="J258" t="inlineStr">
        <is>
          <t>https://www.shzfgjj.cn/html/newxxgk/ywsjtj/215083.html</t>
        </is>
      </c>
    </row>
    <row r="259">
      <c r="A259" t="n">
        <v>2023</v>
      </c>
      <c r="B259" t="n">
        <v>5</v>
      </c>
      <c r="C259" t="inlineStr">
        <is>
          <t>徐汇</t>
        </is>
      </c>
      <c r="D259" t="n">
        <v>5.21</v>
      </c>
      <c r="E259" t="n">
        <v>91.18000000000001</v>
      </c>
      <c r="F259" t="n">
        <v>1175093.91</v>
      </c>
      <c r="G259" t="n">
        <v>749656.3</v>
      </c>
      <c r="H259" t="inlineStr">
        <is>
          <t>2023-05-31</t>
        </is>
      </c>
      <c r="I259" t="inlineStr">
        <is>
          <t>verified_original_html</t>
        </is>
      </c>
      <c r="J259" t="inlineStr">
        <is>
          <t>https://www.shzfgjj.cn/html/newxxgk/ywsjtj/215083.html</t>
        </is>
      </c>
    </row>
    <row r="260">
      <c r="A260" t="n">
        <v>2023</v>
      </c>
      <c r="B260" t="n">
        <v>5</v>
      </c>
      <c r="C260" t="inlineStr">
        <is>
          <t>长宁</t>
        </is>
      </c>
      <c r="D260" t="n">
        <v>2.48</v>
      </c>
      <c r="E260" t="n">
        <v>55.06</v>
      </c>
      <c r="F260" t="n">
        <v>666055.83</v>
      </c>
      <c r="G260" t="n">
        <v>426685.17</v>
      </c>
      <c r="H260" t="inlineStr">
        <is>
          <t>2023-05-31</t>
        </is>
      </c>
      <c r="I260" t="inlineStr">
        <is>
          <t>verified_original_html</t>
        </is>
      </c>
      <c r="J260" t="inlineStr">
        <is>
          <t>https://www.shzfgjj.cn/html/newxxgk/ywsjtj/215083.html</t>
        </is>
      </c>
    </row>
    <row r="261">
      <c r="A261" t="n">
        <v>2023</v>
      </c>
      <c r="B261" t="n">
        <v>5</v>
      </c>
      <c r="C261" t="inlineStr">
        <is>
          <t>静安</t>
        </is>
      </c>
      <c r="D261" t="n">
        <v>3.76</v>
      </c>
      <c r="E261" t="n">
        <v>63.21</v>
      </c>
      <c r="F261" t="n">
        <v>691803.98</v>
      </c>
      <c r="G261" t="n">
        <v>448544.75</v>
      </c>
      <c r="H261" t="inlineStr">
        <is>
          <t>2023-05-31</t>
        </is>
      </c>
      <c r="I261" t="inlineStr">
        <is>
          <t>verified_original_html</t>
        </is>
      </c>
      <c r="J261" t="inlineStr">
        <is>
          <t>https://www.shzfgjj.cn/html/newxxgk/ywsjtj/215083.html</t>
        </is>
      </c>
    </row>
    <row r="262">
      <c r="A262" t="n">
        <v>2023</v>
      </c>
      <c r="B262" t="n">
        <v>5</v>
      </c>
      <c r="C262" t="inlineStr">
        <is>
          <t>普陀</t>
        </is>
      </c>
      <c r="D262" t="n">
        <v>3.53</v>
      </c>
      <c r="E262" t="n">
        <v>35.66</v>
      </c>
      <c r="F262" t="n">
        <v>300819.86</v>
      </c>
      <c r="G262" t="n">
        <v>192770.35</v>
      </c>
      <c r="H262" t="inlineStr">
        <is>
          <t>2023-05-31</t>
        </is>
      </c>
      <c r="I262" t="inlineStr">
        <is>
          <t>verified_original_html</t>
        </is>
      </c>
      <c r="J262" t="inlineStr">
        <is>
          <t>https://www.shzfgjj.cn/html/newxxgk/ywsjtj/215083.html</t>
        </is>
      </c>
    </row>
    <row r="263">
      <c r="A263" t="n">
        <v>2023</v>
      </c>
      <c r="B263" t="n">
        <v>5</v>
      </c>
      <c r="C263" t="inlineStr">
        <is>
          <t>虹口</t>
        </is>
      </c>
      <c r="D263" t="n">
        <v>2.34</v>
      </c>
      <c r="E263" t="n">
        <v>29.66</v>
      </c>
      <c r="F263" t="n">
        <v>300142.42</v>
      </c>
      <c r="G263" t="n">
        <v>204292.01</v>
      </c>
      <c r="H263" t="inlineStr">
        <is>
          <t>2023-05-31</t>
        </is>
      </c>
      <c r="I263" t="inlineStr">
        <is>
          <t>verified_original_html</t>
        </is>
      </c>
      <c r="J263" t="inlineStr">
        <is>
          <t>https://www.shzfgjj.cn/html/newxxgk/ywsjtj/215083.html</t>
        </is>
      </c>
    </row>
    <row r="264">
      <c r="A264" t="n">
        <v>2023</v>
      </c>
      <c r="B264" t="n">
        <v>5</v>
      </c>
      <c r="C264" t="inlineStr">
        <is>
          <t>杨浦</t>
        </is>
      </c>
      <c r="D264" t="n">
        <v>2.44</v>
      </c>
      <c r="E264" t="n">
        <v>33.85</v>
      </c>
      <c r="F264" t="n">
        <v>396380.48</v>
      </c>
      <c r="G264" t="n">
        <v>256598</v>
      </c>
      <c r="H264" t="inlineStr">
        <is>
          <t>2023-05-31</t>
        </is>
      </c>
      <c r="I264" t="inlineStr">
        <is>
          <t>verified_original_html</t>
        </is>
      </c>
      <c r="J264" t="inlineStr">
        <is>
          <t>https://www.shzfgjj.cn/html/newxxgk/ywsjtj/215083.html</t>
        </is>
      </c>
    </row>
    <row r="265">
      <c r="A265" t="n">
        <v>2023</v>
      </c>
      <c r="B265" t="n">
        <v>5</v>
      </c>
      <c r="C265" t="inlineStr">
        <is>
          <t>闵行</t>
        </is>
      </c>
      <c r="D265" t="n">
        <v>6.1</v>
      </c>
      <c r="E265" t="n">
        <v>59.5</v>
      </c>
      <c r="F265" t="n">
        <v>493975.61</v>
      </c>
      <c r="G265" t="n">
        <v>312521.27</v>
      </c>
      <c r="H265" t="inlineStr">
        <is>
          <t>2023-05-31</t>
        </is>
      </c>
      <c r="I265" t="inlineStr">
        <is>
          <t>verified_original_html</t>
        </is>
      </c>
      <c r="J265" t="inlineStr">
        <is>
          <t>https://www.shzfgjj.cn/html/newxxgk/ywsjtj/215083.html</t>
        </is>
      </c>
    </row>
    <row r="266">
      <c r="A266" t="n">
        <v>2023</v>
      </c>
      <c r="B266" t="n">
        <v>5</v>
      </c>
      <c r="C266" t="inlineStr">
        <is>
          <t>宝山</t>
        </is>
      </c>
      <c r="D266" t="n">
        <v>3.7</v>
      </c>
      <c r="E266" t="n">
        <v>40.2</v>
      </c>
      <c r="F266" t="n">
        <v>367244.91</v>
      </c>
      <c r="G266" t="n">
        <v>259744.39</v>
      </c>
      <c r="H266" t="inlineStr">
        <is>
          <t>2023-05-31</t>
        </is>
      </c>
      <c r="I266" t="inlineStr">
        <is>
          <t>verified_original_html</t>
        </is>
      </c>
      <c r="J266" t="inlineStr">
        <is>
          <t>https://www.shzfgjj.cn/html/newxxgk/ywsjtj/215083.html</t>
        </is>
      </c>
    </row>
    <row r="267">
      <c r="A267" t="n">
        <v>2023</v>
      </c>
      <c r="B267" t="n">
        <v>5</v>
      </c>
      <c r="C267" t="inlineStr">
        <is>
          <t>嘉定</t>
        </is>
      </c>
      <c r="D267" t="n">
        <v>3.14</v>
      </c>
      <c r="E267" t="n">
        <v>40.39</v>
      </c>
      <c r="F267" t="n">
        <v>379737.23</v>
      </c>
      <c r="G267" t="n">
        <v>243396.1</v>
      </c>
      <c r="H267" t="inlineStr">
        <is>
          <t>2023-05-31</t>
        </is>
      </c>
      <c r="I267" t="inlineStr">
        <is>
          <t>verified_original_html</t>
        </is>
      </c>
      <c r="J267" t="inlineStr">
        <is>
          <t>https://www.shzfgjj.cn/html/newxxgk/ywsjtj/215083.html</t>
        </is>
      </c>
    </row>
    <row r="268">
      <c r="A268" t="n">
        <v>2023</v>
      </c>
      <c r="B268" t="n">
        <v>5</v>
      </c>
      <c r="C268" t="inlineStr">
        <is>
          <t>浦东</t>
        </is>
      </c>
      <c r="D268" t="n">
        <v>9.85</v>
      </c>
      <c r="E268" t="n">
        <v>163.62</v>
      </c>
      <c r="F268" t="n">
        <v>1839154.94</v>
      </c>
      <c r="G268" t="n">
        <v>1155633.74</v>
      </c>
      <c r="H268" t="inlineStr">
        <is>
          <t>2023-05-31</t>
        </is>
      </c>
      <c r="I268" t="inlineStr">
        <is>
          <t>verified_original_html</t>
        </is>
      </c>
      <c r="J268" t="inlineStr">
        <is>
          <t>https://www.shzfgjj.cn/html/newxxgk/ywsjtj/215083.html</t>
        </is>
      </c>
    </row>
    <row r="269">
      <c r="A269" t="n">
        <v>2023</v>
      </c>
      <c r="B269" t="n">
        <v>5</v>
      </c>
      <c r="C269" t="inlineStr">
        <is>
          <t>奉贤</t>
        </is>
      </c>
      <c r="D269" t="n">
        <v>2.1</v>
      </c>
      <c r="E269" t="n">
        <v>21.78</v>
      </c>
      <c r="F269" t="n">
        <v>161294.13</v>
      </c>
      <c r="G269" t="n">
        <v>107075.17</v>
      </c>
      <c r="H269" t="inlineStr">
        <is>
          <t>2023-05-31</t>
        </is>
      </c>
      <c r="I269" t="inlineStr">
        <is>
          <t>verified_original_html</t>
        </is>
      </c>
      <c r="J269" t="inlineStr">
        <is>
          <t>https://www.shzfgjj.cn/html/newxxgk/ywsjtj/215083.html</t>
        </is>
      </c>
    </row>
    <row r="270">
      <c r="A270" t="n">
        <v>2023</v>
      </c>
      <c r="B270" t="n">
        <v>5</v>
      </c>
      <c r="C270" t="inlineStr">
        <is>
          <t>松江</t>
        </is>
      </c>
      <c r="D270" t="n">
        <v>3.45</v>
      </c>
      <c r="E270" t="n">
        <v>40.18</v>
      </c>
      <c r="F270" t="n">
        <v>275656.87</v>
      </c>
      <c r="G270" t="n">
        <v>176730.34</v>
      </c>
      <c r="H270" t="inlineStr">
        <is>
          <t>2023-05-31</t>
        </is>
      </c>
      <c r="I270" t="inlineStr">
        <is>
          <t>verified_original_html</t>
        </is>
      </c>
      <c r="J270" t="inlineStr">
        <is>
          <t>https://www.shzfgjj.cn/html/newxxgk/ywsjtj/215083.html</t>
        </is>
      </c>
    </row>
    <row r="271">
      <c r="A271" t="n">
        <v>2023</v>
      </c>
      <c r="B271" t="n">
        <v>5</v>
      </c>
      <c r="C271" t="inlineStr">
        <is>
          <t>金山</t>
        </is>
      </c>
      <c r="D271" t="n">
        <v>1.48</v>
      </c>
      <c r="E271" t="n">
        <v>19.83</v>
      </c>
      <c r="F271" t="n">
        <v>155800.02</v>
      </c>
      <c r="G271" t="n">
        <v>113619.4</v>
      </c>
      <c r="H271" t="inlineStr">
        <is>
          <t>2023-05-31</t>
        </is>
      </c>
      <c r="I271" t="inlineStr">
        <is>
          <t>verified_original_html</t>
        </is>
      </c>
      <c r="J271" t="inlineStr">
        <is>
          <t>https://www.shzfgjj.cn/html/newxxgk/ywsjtj/215083.html</t>
        </is>
      </c>
    </row>
    <row r="272">
      <c r="A272" t="n">
        <v>2023</v>
      </c>
      <c r="B272" t="n">
        <v>5</v>
      </c>
      <c r="C272" t="inlineStr">
        <is>
          <t>青浦</t>
        </is>
      </c>
      <c r="D272" t="n">
        <v>1.84</v>
      </c>
      <c r="E272" t="n">
        <v>26.05</v>
      </c>
      <c r="F272" t="n">
        <v>195358.27</v>
      </c>
      <c r="G272" t="n">
        <v>119933.86</v>
      </c>
      <c r="H272" t="inlineStr">
        <is>
          <t>2023-05-31</t>
        </is>
      </c>
      <c r="I272" t="inlineStr">
        <is>
          <t>verified_original_html</t>
        </is>
      </c>
      <c r="J272" t="inlineStr">
        <is>
          <t>https://www.shzfgjj.cn/html/newxxgk/ywsjtj/215083.html</t>
        </is>
      </c>
    </row>
    <row r="273">
      <c r="A273" t="n">
        <v>2023</v>
      </c>
      <c r="B273" t="n">
        <v>5</v>
      </c>
      <c r="C273" t="inlineStr">
        <is>
          <t>崇明</t>
        </is>
      </c>
      <c r="D273" t="n">
        <v>0.38</v>
      </c>
      <c r="E273" t="n">
        <v>7.25</v>
      </c>
      <c r="F273" t="n">
        <v>65797.85000000001</v>
      </c>
      <c r="G273" t="n">
        <v>48746.54</v>
      </c>
      <c r="H273" t="inlineStr">
        <is>
          <t>2023-05-31</t>
        </is>
      </c>
      <c r="I273" t="inlineStr">
        <is>
          <t>verified_original_html</t>
        </is>
      </c>
      <c r="J273" t="inlineStr">
        <is>
          <t>https://www.shzfgjj.cn/html/newxxgk/ywsjtj/215083.html</t>
        </is>
      </c>
    </row>
    <row r="274">
      <c r="A274" t="n">
        <v>2023</v>
      </c>
      <c r="B274" t="n">
        <v>6</v>
      </c>
      <c r="C274" t="inlineStr">
        <is>
          <t>黄浦</t>
        </is>
      </c>
      <c r="D274" t="n">
        <v>3.5</v>
      </c>
      <c r="E274" t="n">
        <v>120.74</v>
      </c>
      <c r="F274" t="n">
        <v>2488688.81</v>
      </c>
      <c r="G274" t="n">
        <v>2507559.4</v>
      </c>
      <c r="H274" t="inlineStr">
        <is>
          <t>2023-06-30</t>
        </is>
      </c>
      <c r="I274" t="inlineStr">
        <is>
          <t>verified_original_html</t>
        </is>
      </c>
      <c r="J274" t="inlineStr">
        <is>
          <t>https://www.shzfgjj.cn/html/newxxgk/ywsjtj/215669.html</t>
        </is>
      </c>
    </row>
    <row r="275">
      <c r="A275" t="n">
        <v>2023</v>
      </c>
      <c r="B275" t="n">
        <v>6</v>
      </c>
      <c r="C275" t="inlineStr">
        <is>
          <t>徐汇</t>
        </is>
      </c>
      <c r="D275" t="n">
        <v>5.24</v>
      </c>
      <c r="E275" t="n">
        <v>91.25</v>
      </c>
      <c r="F275" t="n">
        <v>1411122.95</v>
      </c>
      <c r="G275" t="n">
        <v>873249</v>
      </c>
      <c r="H275" t="inlineStr">
        <is>
          <t>2023-06-30</t>
        </is>
      </c>
      <c r="I275" t="inlineStr">
        <is>
          <t>verified_original_html</t>
        </is>
      </c>
      <c r="J275" t="inlineStr">
        <is>
          <t>https://www.shzfgjj.cn/html/newxxgk/ywsjtj/215669.html</t>
        </is>
      </c>
    </row>
    <row r="276">
      <c r="A276" t="n">
        <v>2023</v>
      </c>
      <c r="B276" t="n">
        <v>6</v>
      </c>
      <c r="C276" t="inlineStr">
        <is>
          <t>长宁</t>
        </is>
      </c>
      <c r="D276" t="n">
        <v>2.48</v>
      </c>
      <c r="E276" t="n">
        <v>55</v>
      </c>
      <c r="F276" t="n">
        <v>804595.74</v>
      </c>
      <c r="G276" t="n">
        <v>496637.99</v>
      </c>
      <c r="H276" t="inlineStr">
        <is>
          <t>2023-06-30</t>
        </is>
      </c>
      <c r="I276" t="inlineStr">
        <is>
          <t>verified_original_html</t>
        </is>
      </c>
      <c r="J276" t="inlineStr">
        <is>
          <t>https://www.shzfgjj.cn/html/newxxgk/ywsjtj/215669.html</t>
        </is>
      </c>
    </row>
    <row r="277">
      <c r="A277" t="n">
        <v>2023</v>
      </c>
      <c r="B277" t="n">
        <v>6</v>
      </c>
      <c r="C277" t="inlineStr">
        <is>
          <t>静安</t>
        </is>
      </c>
      <c r="D277" t="n">
        <v>3.78</v>
      </c>
      <c r="E277" t="n">
        <v>63.2</v>
      </c>
      <c r="F277" t="n">
        <v>830112.22</v>
      </c>
      <c r="G277" t="n">
        <v>522795.65</v>
      </c>
      <c r="H277" t="inlineStr">
        <is>
          <t>2023-06-30</t>
        </is>
      </c>
      <c r="I277" t="inlineStr">
        <is>
          <t>verified_original_html</t>
        </is>
      </c>
      <c r="J277" t="inlineStr">
        <is>
          <t>https://www.shzfgjj.cn/html/newxxgk/ywsjtj/215669.html</t>
        </is>
      </c>
    </row>
    <row r="278">
      <c r="A278" t="n">
        <v>2023</v>
      </c>
      <c r="B278" t="n">
        <v>6</v>
      </c>
      <c r="C278" t="inlineStr">
        <is>
          <t>普陀</t>
        </is>
      </c>
      <c r="D278" t="n">
        <v>3.55</v>
      </c>
      <c r="E278" t="n">
        <v>35.54</v>
      </c>
      <c r="F278" t="n">
        <v>362115.03</v>
      </c>
      <c r="G278" t="n">
        <v>224434.54</v>
      </c>
      <c r="H278" t="inlineStr">
        <is>
          <t>2023-06-30</t>
        </is>
      </c>
      <c r="I278" t="inlineStr">
        <is>
          <t>verified_original_html</t>
        </is>
      </c>
      <c r="J278" t="inlineStr">
        <is>
          <t>https://www.shzfgjj.cn/html/newxxgk/ywsjtj/215669.html</t>
        </is>
      </c>
    </row>
    <row r="279">
      <c r="A279" t="n">
        <v>2023</v>
      </c>
      <c r="B279" t="n">
        <v>6</v>
      </c>
      <c r="C279" t="inlineStr">
        <is>
          <t>虹口</t>
        </is>
      </c>
      <c r="D279" t="n">
        <v>2.35</v>
      </c>
      <c r="E279" t="n">
        <v>29.48</v>
      </c>
      <c r="F279" t="n">
        <v>361078.74</v>
      </c>
      <c r="G279" t="n">
        <v>236579.53</v>
      </c>
      <c r="H279" t="inlineStr">
        <is>
          <t>2023-06-30</t>
        </is>
      </c>
      <c r="I279" t="inlineStr">
        <is>
          <t>verified_original_html</t>
        </is>
      </c>
      <c r="J279" t="inlineStr">
        <is>
          <t>https://www.shzfgjj.cn/html/newxxgk/ywsjtj/215669.html</t>
        </is>
      </c>
    </row>
    <row r="280">
      <c r="A280" t="n">
        <v>2023</v>
      </c>
      <c r="B280" t="n">
        <v>6</v>
      </c>
      <c r="C280" t="inlineStr">
        <is>
          <t>杨浦</t>
        </is>
      </c>
      <c r="D280" t="n">
        <v>2.45</v>
      </c>
      <c r="E280" t="n">
        <v>33.8</v>
      </c>
      <c r="F280" t="n">
        <v>478773.07</v>
      </c>
      <c r="G280" t="n">
        <v>299817.06</v>
      </c>
      <c r="H280" t="inlineStr">
        <is>
          <t>2023-06-30</t>
        </is>
      </c>
      <c r="I280" t="inlineStr">
        <is>
          <t>verified_original_html</t>
        </is>
      </c>
      <c r="J280" t="inlineStr">
        <is>
          <t>https://www.shzfgjj.cn/html/newxxgk/ywsjtj/215669.html</t>
        </is>
      </c>
    </row>
    <row r="281">
      <c r="A281" t="n">
        <v>2023</v>
      </c>
      <c r="B281" t="n">
        <v>6</v>
      </c>
      <c r="C281" t="inlineStr">
        <is>
          <t>闵行</t>
        </is>
      </c>
      <c r="D281" t="n">
        <v>6.2</v>
      </c>
      <c r="E281" t="n">
        <v>59.78</v>
      </c>
      <c r="F281" t="n">
        <v>594165.1800000001</v>
      </c>
      <c r="G281" t="n">
        <v>363857.46</v>
      </c>
      <c r="H281" t="inlineStr">
        <is>
          <t>2023-06-30</t>
        </is>
      </c>
      <c r="I281" t="inlineStr">
        <is>
          <t>verified_original_html</t>
        </is>
      </c>
      <c r="J281" t="inlineStr">
        <is>
          <t>https://www.shzfgjj.cn/html/newxxgk/ywsjtj/215669.html</t>
        </is>
      </c>
    </row>
    <row r="282">
      <c r="A282" t="n">
        <v>2023</v>
      </c>
      <c r="B282" t="n">
        <v>6</v>
      </c>
      <c r="C282" t="inlineStr">
        <is>
          <t>宝山</t>
        </is>
      </c>
      <c r="D282" t="n">
        <v>3.73</v>
      </c>
      <c r="E282" t="n">
        <v>39.88</v>
      </c>
      <c r="F282" t="n">
        <v>440251.69</v>
      </c>
      <c r="G282" t="n">
        <v>298082.73</v>
      </c>
      <c r="H282" t="inlineStr">
        <is>
          <t>2023-06-30</t>
        </is>
      </c>
      <c r="I282" t="inlineStr">
        <is>
          <t>verified_original_html</t>
        </is>
      </c>
      <c r="J282" t="inlineStr">
        <is>
          <t>https://www.shzfgjj.cn/html/newxxgk/ywsjtj/215669.html</t>
        </is>
      </c>
    </row>
    <row r="283">
      <c r="A283" t="n">
        <v>2023</v>
      </c>
      <c r="B283" t="n">
        <v>6</v>
      </c>
      <c r="C283" t="inlineStr">
        <is>
          <t>嘉定</t>
        </is>
      </c>
      <c r="D283" t="n">
        <v>3.17</v>
      </c>
      <c r="E283" t="n">
        <v>40.4</v>
      </c>
      <c r="F283" t="n">
        <v>455476.5</v>
      </c>
      <c r="G283" t="n">
        <v>282662.56</v>
      </c>
      <c r="H283" t="inlineStr">
        <is>
          <t>2023-06-30</t>
        </is>
      </c>
      <c r="I283" t="inlineStr">
        <is>
          <t>verified_original_html</t>
        </is>
      </c>
      <c r="J283" t="inlineStr">
        <is>
          <t>https://www.shzfgjj.cn/html/newxxgk/ywsjtj/215669.html</t>
        </is>
      </c>
    </row>
    <row r="284">
      <c r="A284" t="n">
        <v>2023</v>
      </c>
      <c r="B284" t="n">
        <v>6</v>
      </c>
      <c r="C284" t="inlineStr">
        <is>
          <t>浦东</t>
        </is>
      </c>
      <c r="D284" t="n">
        <v>9.93</v>
      </c>
      <c r="E284" t="n">
        <v>163.71</v>
      </c>
      <c r="F284" t="n">
        <v>2208349.61</v>
      </c>
      <c r="G284" t="n">
        <v>1345551.45</v>
      </c>
      <c r="H284" t="inlineStr">
        <is>
          <t>2023-06-30</t>
        </is>
      </c>
      <c r="I284" t="inlineStr">
        <is>
          <t>verified_original_html</t>
        </is>
      </c>
      <c r="J284" t="inlineStr">
        <is>
          <t>https://www.shzfgjj.cn/html/newxxgk/ywsjtj/215669.html</t>
        </is>
      </c>
    </row>
    <row r="285">
      <c r="A285" t="n">
        <v>2023</v>
      </c>
      <c r="B285" t="n">
        <v>6</v>
      </c>
      <c r="C285" t="inlineStr">
        <is>
          <t>奉贤</t>
        </is>
      </c>
      <c r="D285" t="n">
        <v>2.13</v>
      </c>
      <c r="E285" t="n">
        <v>21.74</v>
      </c>
      <c r="F285" t="n">
        <v>193211.55</v>
      </c>
      <c r="G285" t="n">
        <v>122271.34</v>
      </c>
      <c r="H285" t="inlineStr">
        <is>
          <t>2023-06-30</t>
        </is>
      </c>
      <c r="I285" t="inlineStr">
        <is>
          <t>verified_original_html</t>
        </is>
      </c>
      <c r="J285" t="inlineStr">
        <is>
          <t>https://www.shzfgjj.cn/html/newxxgk/ywsjtj/215669.html</t>
        </is>
      </c>
    </row>
    <row r="286">
      <c r="A286" t="n">
        <v>2023</v>
      </c>
      <c r="B286" t="n">
        <v>6</v>
      </c>
      <c r="C286" t="inlineStr">
        <is>
          <t>松江</t>
        </is>
      </c>
      <c r="D286" t="n">
        <v>3.48</v>
      </c>
      <c r="E286" t="n">
        <v>40.26</v>
      </c>
      <c r="F286" t="n">
        <v>330801.82</v>
      </c>
      <c r="G286" t="n">
        <v>205429.78</v>
      </c>
      <c r="H286" t="inlineStr">
        <is>
          <t>2023-06-30</t>
        </is>
      </c>
      <c r="I286" t="inlineStr">
        <is>
          <t>verified_original_html</t>
        </is>
      </c>
      <c r="J286" t="inlineStr">
        <is>
          <t>https://www.shzfgjj.cn/html/newxxgk/ywsjtj/215669.html</t>
        </is>
      </c>
    </row>
    <row r="287">
      <c r="A287" t="n">
        <v>2023</v>
      </c>
      <c r="B287" t="n">
        <v>6</v>
      </c>
      <c r="C287" t="inlineStr">
        <is>
          <t>金山</t>
        </is>
      </c>
      <c r="D287" t="n">
        <v>1.49</v>
      </c>
      <c r="E287" t="n">
        <v>19.82</v>
      </c>
      <c r="F287" t="n">
        <v>186811.11</v>
      </c>
      <c r="G287" t="n">
        <v>129935.42</v>
      </c>
      <c r="H287" t="inlineStr">
        <is>
          <t>2023-06-30</t>
        </is>
      </c>
      <c r="I287" t="inlineStr">
        <is>
          <t>verified_original_html</t>
        </is>
      </c>
      <c r="J287" t="inlineStr">
        <is>
          <t>https://www.shzfgjj.cn/html/newxxgk/ywsjtj/215669.html</t>
        </is>
      </c>
    </row>
    <row r="288">
      <c r="A288" t="n">
        <v>2023</v>
      </c>
      <c r="B288" t="n">
        <v>6</v>
      </c>
      <c r="C288" t="inlineStr">
        <is>
          <t>青浦</t>
        </is>
      </c>
      <c r="D288" t="n">
        <v>1.85</v>
      </c>
      <c r="E288" t="n">
        <v>25.85</v>
      </c>
      <c r="F288" t="n">
        <v>233719.57</v>
      </c>
      <c r="G288" t="n">
        <v>139351.02</v>
      </c>
      <c r="H288" t="inlineStr">
        <is>
          <t>2023-06-30</t>
        </is>
      </c>
      <c r="I288" t="inlineStr">
        <is>
          <t>verified_original_html</t>
        </is>
      </c>
      <c r="J288" t="inlineStr">
        <is>
          <t>https://www.shzfgjj.cn/html/newxxgk/ywsjtj/215669.html</t>
        </is>
      </c>
    </row>
    <row r="289">
      <c r="A289" t="n">
        <v>2023</v>
      </c>
      <c r="B289" t="n">
        <v>6</v>
      </c>
      <c r="C289" t="inlineStr">
        <is>
          <t>崇明</t>
        </is>
      </c>
      <c r="D289" t="n">
        <v>0.39</v>
      </c>
      <c r="E289" t="n">
        <v>7.24</v>
      </c>
      <c r="F289" t="n">
        <v>79106.8</v>
      </c>
      <c r="G289" t="n">
        <v>56136.1</v>
      </c>
      <c r="H289" t="inlineStr">
        <is>
          <t>2023-06-30</t>
        </is>
      </c>
      <c r="I289" t="inlineStr">
        <is>
          <t>verified_original_html</t>
        </is>
      </c>
      <c r="J289" t="inlineStr">
        <is>
          <t>https://www.shzfgjj.cn/html/newxxgk/ywsjtj/215669.html</t>
        </is>
      </c>
    </row>
    <row r="290">
      <c r="A290" t="n">
        <v>2023</v>
      </c>
      <c r="B290" t="n">
        <v>7</v>
      </c>
      <c r="C290" t="inlineStr">
        <is>
          <t>黄浦</t>
        </is>
      </c>
      <c r="D290" t="n">
        <v>3.51</v>
      </c>
      <c r="E290" t="n">
        <v>121.24</v>
      </c>
      <c r="F290" t="n">
        <v>2910392.13</v>
      </c>
      <c r="G290" t="n">
        <v>2914744.6</v>
      </c>
      <c r="H290" t="inlineStr">
        <is>
          <t>2023-07-31</t>
        </is>
      </c>
      <c r="I290" t="inlineStr">
        <is>
          <t>verified_original_html</t>
        </is>
      </c>
      <c r="J290" t="inlineStr">
        <is>
          <t>https://www.shzfgjj.cn/html/newxxgk/ywsjtj/216213.html</t>
        </is>
      </c>
    </row>
    <row r="291">
      <c r="A291" t="n">
        <v>2023</v>
      </c>
      <c r="B291" t="n">
        <v>7</v>
      </c>
      <c r="C291" t="inlineStr">
        <is>
          <t>徐汇</t>
        </is>
      </c>
      <c r="D291" t="n">
        <v>5.27</v>
      </c>
      <c r="E291" t="n">
        <v>91.92</v>
      </c>
      <c r="F291" t="n">
        <v>1653967.95</v>
      </c>
      <c r="G291" t="n">
        <v>1002461.09</v>
      </c>
      <c r="H291" t="inlineStr">
        <is>
          <t>2023-07-31</t>
        </is>
      </c>
      <c r="I291" t="inlineStr">
        <is>
          <t>verified_original_html</t>
        </is>
      </c>
      <c r="J291" t="inlineStr">
        <is>
          <t>https://www.shzfgjj.cn/html/newxxgk/ywsjtj/216213.html</t>
        </is>
      </c>
    </row>
    <row r="292">
      <c r="A292" t="n">
        <v>2023</v>
      </c>
      <c r="B292" t="n">
        <v>7</v>
      </c>
      <c r="C292" t="inlineStr">
        <is>
          <t>长宁</t>
        </is>
      </c>
      <c r="D292" t="n">
        <v>2.49</v>
      </c>
      <c r="E292" t="n">
        <v>55.03</v>
      </c>
      <c r="F292" t="n">
        <v>938495.74</v>
      </c>
      <c r="G292" t="n">
        <v>570290.4</v>
      </c>
      <c r="H292" t="inlineStr">
        <is>
          <t>2023-07-31</t>
        </is>
      </c>
      <c r="I292" t="inlineStr">
        <is>
          <t>verified_original_html</t>
        </is>
      </c>
      <c r="J292" t="inlineStr">
        <is>
          <t>https://www.shzfgjj.cn/html/newxxgk/ywsjtj/216213.html</t>
        </is>
      </c>
    </row>
    <row r="293">
      <c r="A293" t="n">
        <v>2023</v>
      </c>
      <c r="B293" t="n">
        <v>7</v>
      </c>
      <c r="C293" t="inlineStr">
        <is>
          <t>静安</t>
        </is>
      </c>
      <c r="D293" t="n">
        <v>3.79</v>
      </c>
      <c r="E293" t="n">
        <v>63.52</v>
      </c>
      <c r="F293" t="n">
        <v>968972.53</v>
      </c>
      <c r="G293" t="n">
        <v>601447.03</v>
      </c>
      <c r="H293" t="inlineStr">
        <is>
          <t>2023-07-31</t>
        </is>
      </c>
      <c r="I293" t="inlineStr">
        <is>
          <t>verified_original_html</t>
        </is>
      </c>
      <c r="J293" t="inlineStr">
        <is>
          <t>https://www.shzfgjj.cn/html/newxxgk/ywsjtj/216213.html</t>
        </is>
      </c>
    </row>
    <row r="294">
      <c r="A294" t="n">
        <v>2023</v>
      </c>
      <c r="B294" t="n">
        <v>7</v>
      </c>
      <c r="C294" t="inlineStr">
        <is>
          <t>普陀</t>
        </is>
      </c>
      <c r="D294" t="n">
        <v>3.56</v>
      </c>
      <c r="E294" t="n">
        <v>35.61</v>
      </c>
      <c r="F294" t="n">
        <v>422656.43</v>
      </c>
      <c r="G294" t="n">
        <v>259240.02</v>
      </c>
      <c r="H294" t="inlineStr">
        <is>
          <t>2023-07-31</t>
        </is>
      </c>
      <c r="I294" t="inlineStr">
        <is>
          <t>verified_original_html</t>
        </is>
      </c>
      <c r="J294" t="inlineStr">
        <is>
          <t>https://www.shzfgjj.cn/html/newxxgk/ywsjtj/216213.html</t>
        </is>
      </c>
    </row>
    <row r="295">
      <c r="A295" t="n">
        <v>2023</v>
      </c>
      <c r="B295" t="n">
        <v>7</v>
      </c>
      <c r="C295" t="inlineStr">
        <is>
          <t>虹口</t>
        </is>
      </c>
      <c r="D295" t="n">
        <v>2.36</v>
      </c>
      <c r="E295" t="n">
        <v>29.52</v>
      </c>
      <c r="F295" t="n">
        <v>422553.48</v>
      </c>
      <c r="G295" t="n">
        <v>272306.28</v>
      </c>
      <c r="H295" t="inlineStr">
        <is>
          <t>2023-07-31</t>
        </is>
      </c>
      <c r="I295" t="inlineStr">
        <is>
          <t>verified_original_html</t>
        </is>
      </c>
      <c r="J295" t="inlineStr">
        <is>
          <t>https://www.shzfgjj.cn/html/newxxgk/ywsjtj/216213.html</t>
        </is>
      </c>
    </row>
    <row r="296">
      <c r="A296" t="n">
        <v>2023</v>
      </c>
      <c r="B296" t="n">
        <v>7</v>
      </c>
      <c r="C296" t="inlineStr">
        <is>
          <t>杨浦</t>
        </is>
      </c>
      <c r="D296" t="n">
        <v>2.46</v>
      </c>
      <c r="E296" t="n">
        <v>33.78</v>
      </c>
      <c r="F296" t="n">
        <v>559738.6800000001</v>
      </c>
      <c r="G296" t="n">
        <v>344090.07</v>
      </c>
      <c r="H296" t="inlineStr">
        <is>
          <t>2023-07-31</t>
        </is>
      </c>
      <c r="I296" t="inlineStr">
        <is>
          <t>verified_original_html</t>
        </is>
      </c>
      <c r="J296" t="inlineStr">
        <is>
          <t>https://www.shzfgjj.cn/html/newxxgk/ywsjtj/216213.html</t>
        </is>
      </c>
    </row>
    <row r="297">
      <c r="A297" t="n">
        <v>2023</v>
      </c>
      <c r="B297" t="n">
        <v>7</v>
      </c>
      <c r="C297" t="inlineStr">
        <is>
          <t>闵行</t>
        </is>
      </c>
      <c r="D297" t="n">
        <v>6.29</v>
      </c>
      <c r="E297" t="n">
        <v>60.33</v>
      </c>
      <c r="F297" t="n">
        <v>696202.6800000001</v>
      </c>
      <c r="G297" t="n">
        <v>418244.4</v>
      </c>
      <c r="H297" t="inlineStr">
        <is>
          <t>2023-07-31</t>
        </is>
      </c>
      <c r="I297" t="inlineStr">
        <is>
          <t>verified_original_html</t>
        </is>
      </c>
      <c r="J297" t="inlineStr">
        <is>
          <t>https://www.shzfgjj.cn/html/newxxgk/ywsjtj/216213.html</t>
        </is>
      </c>
    </row>
    <row r="298">
      <c r="A298" t="n">
        <v>2023</v>
      </c>
      <c r="B298" t="n">
        <v>7</v>
      </c>
      <c r="C298" t="inlineStr">
        <is>
          <t>宝山</t>
        </is>
      </c>
      <c r="D298" t="n">
        <v>3.75</v>
      </c>
      <c r="E298" t="n">
        <v>39.83</v>
      </c>
      <c r="F298" t="n">
        <v>515041.08</v>
      </c>
      <c r="G298" t="n">
        <v>341296.32</v>
      </c>
      <c r="H298" t="inlineStr">
        <is>
          <t>2023-07-31</t>
        </is>
      </c>
      <c r="I298" t="inlineStr">
        <is>
          <t>verified_original_html</t>
        </is>
      </c>
      <c r="J298" t="inlineStr">
        <is>
          <t>https://www.shzfgjj.cn/html/newxxgk/ywsjtj/216213.html</t>
        </is>
      </c>
    </row>
    <row r="299">
      <c r="A299" t="n">
        <v>2023</v>
      </c>
      <c r="B299" t="n">
        <v>7</v>
      </c>
      <c r="C299" t="inlineStr">
        <is>
          <t>嘉定</t>
        </is>
      </c>
      <c r="D299" t="n">
        <v>3.19</v>
      </c>
      <c r="E299" t="n">
        <v>40.75</v>
      </c>
      <c r="F299" t="n">
        <v>535137.5699999999</v>
      </c>
      <c r="G299" t="n">
        <v>323767.08</v>
      </c>
      <c r="H299" t="inlineStr">
        <is>
          <t>2023-07-31</t>
        </is>
      </c>
      <c r="I299" t="inlineStr">
        <is>
          <t>verified_original_html</t>
        </is>
      </c>
      <c r="J299" t="inlineStr">
        <is>
          <t>https://www.shzfgjj.cn/html/newxxgk/ywsjtj/216213.html</t>
        </is>
      </c>
    </row>
    <row r="300">
      <c r="A300" t="n">
        <v>2023</v>
      </c>
      <c r="B300" t="n">
        <v>7</v>
      </c>
      <c r="C300" t="inlineStr">
        <is>
          <t>浦东</t>
        </is>
      </c>
      <c r="D300" t="n">
        <v>9.98</v>
      </c>
      <c r="E300" t="n">
        <v>165.28</v>
      </c>
      <c r="F300" t="n">
        <v>2594182.41</v>
      </c>
      <c r="G300" t="n">
        <v>1546697.32</v>
      </c>
      <c r="H300" t="inlineStr">
        <is>
          <t>2023-07-31</t>
        </is>
      </c>
      <c r="I300" t="inlineStr">
        <is>
          <t>verified_original_html</t>
        </is>
      </c>
      <c r="J300" t="inlineStr">
        <is>
          <t>https://www.shzfgjj.cn/html/newxxgk/ywsjtj/216213.html</t>
        </is>
      </c>
    </row>
    <row r="301">
      <c r="A301" t="n">
        <v>2023</v>
      </c>
      <c r="B301" t="n">
        <v>7</v>
      </c>
      <c r="C301" t="inlineStr">
        <is>
          <t>奉贤</t>
        </is>
      </c>
      <c r="D301" t="n">
        <v>2.15</v>
      </c>
      <c r="E301" t="n">
        <v>21.86</v>
      </c>
      <c r="F301" t="n">
        <v>226027.41</v>
      </c>
      <c r="G301" t="n">
        <v>138696.38</v>
      </c>
      <c r="H301" t="inlineStr">
        <is>
          <t>2023-07-31</t>
        </is>
      </c>
      <c r="I301" t="inlineStr">
        <is>
          <t>verified_original_html</t>
        </is>
      </c>
      <c r="J301" t="inlineStr">
        <is>
          <t>https://www.shzfgjj.cn/html/newxxgk/ywsjtj/216213.html</t>
        </is>
      </c>
    </row>
    <row r="302">
      <c r="A302" t="n">
        <v>2023</v>
      </c>
      <c r="B302" t="n">
        <v>7</v>
      </c>
      <c r="C302" t="inlineStr">
        <is>
          <t>松江</t>
        </is>
      </c>
      <c r="D302" t="n">
        <v>3.51</v>
      </c>
      <c r="E302" t="n">
        <v>40.52</v>
      </c>
      <c r="F302" t="n">
        <v>388223.22</v>
      </c>
      <c r="G302" t="n">
        <v>236402.86</v>
      </c>
      <c r="H302" t="inlineStr">
        <is>
          <t>2023-07-31</t>
        </is>
      </c>
      <c r="I302" t="inlineStr">
        <is>
          <t>verified_original_html</t>
        </is>
      </c>
      <c r="J302" t="inlineStr">
        <is>
          <t>https://www.shzfgjj.cn/html/newxxgk/ywsjtj/216213.html</t>
        </is>
      </c>
    </row>
    <row r="303">
      <c r="A303" t="n">
        <v>2023</v>
      </c>
      <c r="B303" t="n">
        <v>7</v>
      </c>
      <c r="C303" t="inlineStr">
        <is>
          <t>金山</t>
        </is>
      </c>
      <c r="D303" t="n">
        <v>1.49</v>
      </c>
      <c r="E303" t="n">
        <v>19.88</v>
      </c>
      <c r="F303" t="n">
        <v>219203.62</v>
      </c>
      <c r="G303" t="n">
        <v>147597.14</v>
      </c>
      <c r="H303" t="inlineStr">
        <is>
          <t>2023-07-31</t>
        </is>
      </c>
      <c r="I303" t="inlineStr">
        <is>
          <t>verified_original_html</t>
        </is>
      </c>
      <c r="J303" t="inlineStr">
        <is>
          <t>https://www.shzfgjj.cn/html/newxxgk/ywsjtj/216213.html</t>
        </is>
      </c>
    </row>
    <row r="304">
      <c r="A304" t="n">
        <v>2023</v>
      </c>
      <c r="B304" t="n">
        <v>7</v>
      </c>
      <c r="C304" t="inlineStr">
        <is>
          <t>青浦</t>
        </is>
      </c>
      <c r="D304" t="n">
        <v>1.86</v>
      </c>
      <c r="E304" t="n">
        <v>26.03</v>
      </c>
      <c r="F304" t="n">
        <v>273208.67</v>
      </c>
      <c r="G304" t="n">
        <v>159181.85</v>
      </c>
      <c r="H304" t="inlineStr">
        <is>
          <t>2023-07-31</t>
        </is>
      </c>
      <c r="I304" t="inlineStr">
        <is>
          <t>verified_original_html</t>
        </is>
      </c>
      <c r="J304" t="inlineStr">
        <is>
          <t>https://www.shzfgjj.cn/html/newxxgk/ywsjtj/216213.html</t>
        </is>
      </c>
    </row>
    <row r="305">
      <c r="A305" t="n">
        <v>2023</v>
      </c>
      <c r="B305" t="n">
        <v>7</v>
      </c>
      <c r="C305" t="inlineStr">
        <is>
          <t>崇明</t>
        </is>
      </c>
      <c r="D305" t="n">
        <v>0.39</v>
      </c>
      <c r="E305" t="n">
        <v>7.27</v>
      </c>
      <c r="F305" t="n">
        <v>93136.35000000001</v>
      </c>
      <c r="G305" t="n">
        <v>64061.99</v>
      </c>
      <c r="H305" t="inlineStr">
        <is>
          <t>2023-07-31</t>
        </is>
      </c>
      <c r="I305" t="inlineStr">
        <is>
          <t>verified_original_html</t>
        </is>
      </c>
      <c r="J305" t="inlineStr">
        <is>
          <t>https://www.shzfgjj.cn/html/newxxgk/ywsjtj/216213.html</t>
        </is>
      </c>
    </row>
    <row r="306">
      <c r="A306" t="n">
        <v>2023</v>
      </c>
      <c r="B306" t="n">
        <v>8</v>
      </c>
      <c r="C306" t="inlineStr">
        <is>
          <t>黄浦</t>
        </is>
      </c>
      <c r="D306" t="n">
        <v>3.52</v>
      </c>
      <c r="E306" t="n">
        <v>122.04</v>
      </c>
      <c r="F306" t="n">
        <v>3358861.22</v>
      </c>
      <c r="G306" t="n">
        <v>3313454.35</v>
      </c>
      <c r="H306" t="inlineStr">
        <is>
          <t>2023-08-31</t>
        </is>
      </c>
      <c r="I306" t="inlineStr">
        <is>
          <t>verified_original_html</t>
        </is>
      </c>
      <c r="J306" t="inlineStr">
        <is>
          <t>https://www.shzfgjj.cn/html/newxxgk/ywsjtj/216847.html</t>
        </is>
      </c>
    </row>
    <row r="307">
      <c r="A307" t="n">
        <v>2023</v>
      </c>
      <c r="B307" t="n">
        <v>8</v>
      </c>
      <c r="C307" t="inlineStr">
        <is>
          <t>徐汇</t>
        </is>
      </c>
      <c r="D307" t="n">
        <v>5.31</v>
      </c>
      <c r="E307" t="n">
        <v>92.31999999999999</v>
      </c>
      <c r="F307" t="n">
        <v>1911289.37</v>
      </c>
      <c r="G307" t="n">
        <v>1133798.72</v>
      </c>
      <c r="H307" t="inlineStr">
        <is>
          <t>2023-08-31</t>
        </is>
      </c>
      <c r="I307" t="inlineStr">
        <is>
          <t>verified_original_html</t>
        </is>
      </c>
      <c r="J307" t="inlineStr">
        <is>
          <t>https://www.shzfgjj.cn/html/newxxgk/ywsjtj/216847.html</t>
        </is>
      </c>
    </row>
    <row r="308">
      <c r="A308" t="n">
        <v>2023</v>
      </c>
      <c r="B308" t="n">
        <v>8</v>
      </c>
      <c r="C308" t="inlineStr">
        <is>
          <t>长宁</t>
        </is>
      </c>
      <c r="D308" t="n">
        <v>2.49</v>
      </c>
      <c r="E308" t="n">
        <v>55.02</v>
      </c>
      <c r="F308" t="n">
        <v>1075691.98</v>
      </c>
      <c r="G308" t="n">
        <v>645529.6899999999</v>
      </c>
      <c r="H308" t="inlineStr">
        <is>
          <t>2023-08-31</t>
        </is>
      </c>
      <c r="I308" t="inlineStr">
        <is>
          <t>verified_original_html</t>
        </is>
      </c>
      <c r="J308" t="inlineStr">
        <is>
          <t>https://www.shzfgjj.cn/html/newxxgk/ywsjtj/216847.html</t>
        </is>
      </c>
    </row>
    <row r="309">
      <c r="A309" t="n">
        <v>2023</v>
      </c>
      <c r="B309" t="n">
        <v>8</v>
      </c>
      <c r="C309" t="inlineStr">
        <is>
          <t>静安</t>
        </is>
      </c>
      <c r="D309" t="n">
        <v>3.81</v>
      </c>
      <c r="E309" t="n">
        <v>63.84</v>
      </c>
      <c r="F309" t="n">
        <v>1116518.11</v>
      </c>
      <c r="G309" t="n">
        <v>684631.15</v>
      </c>
      <c r="H309" t="inlineStr">
        <is>
          <t>2023-08-31</t>
        </is>
      </c>
      <c r="I309" t="inlineStr">
        <is>
          <t>verified_original_html</t>
        </is>
      </c>
      <c r="J309" t="inlineStr">
        <is>
          <t>https://www.shzfgjj.cn/html/newxxgk/ywsjtj/216847.html</t>
        </is>
      </c>
    </row>
    <row r="310">
      <c r="A310" t="n">
        <v>2023</v>
      </c>
      <c r="B310" t="n">
        <v>8</v>
      </c>
      <c r="C310" t="inlineStr">
        <is>
          <t>普陀</t>
        </is>
      </c>
      <c r="D310" t="n">
        <v>3.58</v>
      </c>
      <c r="E310" t="n">
        <v>35.78</v>
      </c>
      <c r="F310" t="n">
        <v>488627.17</v>
      </c>
      <c r="G310" t="n">
        <v>293711.17</v>
      </c>
      <c r="H310" t="inlineStr">
        <is>
          <t>2023-08-31</t>
        </is>
      </c>
      <c r="I310" t="inlineStr">
        <is>
          <t>verified_original_html</t>
        </is>
      </c>
      <c r="J310" t="inlineStr">
        <is>
          <t>https://www.shzfgjj.cn/html/newxxgk/ywsjtj/216847.html</t>
        </is>
      </c>
    </row>
    <row r="311">
      <c r="A311" t="n">
        <v>2023</v>
      </c>
      <c r="B311" t="n">
        <v>8</v>
      </c>
      <c r="C311" t="inlineStr">
        <is>
          <t>虹口</t>
        </is>
      </c>
      <c r="D311" t="n">
        <v>2.36</v>
      </c>
      <c r="E311" t="n">
        <v>29.6</v>
      </c>
      <c r="F311" t="n">
        <v>485744.77</v>
      </c>
      <c r="G311" t="n">
        <v>309035.06</v>
      </c>
      <c r="H311" t="inlineStr">
        <is>
          <t>2023-08-31</t>
        </is>
      </c>
      <c r="I311" t="inlineStr">
        <is>
          <t>verified_original_html</t>
        </is>
      </c>
      <c r="J311" t="inlineStr">
        <is>
          <t>https://www.shzfgjj.cn/html/newxxgk/ywsjtj/216847.html</t>
        </is>
      </c>
    </row>
    <row r="312">
      <c r="A312" t="n">
        <v>2023</v>
      </c>
      <c r="B312" t="n">
        <v>8</v>
      </c>
      <c r="C312" t="inlineStr">
        <is>
          <t>杨浦</t>
        </is>
      </c>
      <c r="D312" t="n">
        <v>2.47</v>
      </c>
      <c r="E312" t="n">
        <v>33.85</v>
      </c>
      <c r="F312" t="n">
        <v>644281.64</v>
      </c>
      <c r="G312" t="n">
        <v>389704.62</v>
      </c>
      <c r="H312" t="inlineStr">
        <is>
          <t>2023-08-31</t>
        </is>
      </c>
      <c r="I312" t="inlineStr">
        <is>
          <t>verified_original_html</t>
        </is>
      </c>
      <c r="J312" t="inlineStr">
        <is>
          <t>https://www.shzfgjj.cn/html/newxxgk/ywsjtj/216847.html</t>
        </is>
      </c>
    </row>
    <row r="313">
      <c r="A313" t="n">
        <v>2023</v>
      </c>
      <c r="B313" t="n">
        <v>8</v>
      </c>
      <c r="C313" t="inlineStr">
        <is>
          <t>闵行</t>
        </is>
      </c>
      <c r="D313" t="n">
        <v>6.38</v>
      </c>
      <c r="E313" t="n">
        <v>60.82</v>
      </c>
      <c r="F313" t="n">
        <v>802957.45</v>
      </c>
      <c r="G313" t="n">
        <v>473003.45</v>
      </c>
      <c r="H313" t="inlineStr">
        <is>
          <t>2023-08-31</t>
        </is>
      </c>
      <c r="I313" t="inlineStr">
        <is>
          <t>verified_original_html</t>
        </is>
      </c>
      <c r="J313" t="inlineStr">
        <is>
          <t>https://www.shzfgjj.cn/html/newxxgk/ywsjtj/216847.html</t>
        </is>
      </c>
    </row>
    <row r="314">
      <c r="A314" t="n">
        <v>2023</v>
      </c>
      <c r="B314" t="n">
        <v>8</v>
      </c>
      <c r="C314" t="inlineStr">
        <is>
          <t>宝山</t>
        </is>
      </c>
      <c r="D314" t="n">
        <v>3.78</v>
      </c>
      <c r="E314" t="n">
        <v>39.81</v>
      </c>
      <c r="F314" t="n">
        <v>590634.88</v>
      </c>
      <c r="G314" t="n">
        <v>383782.81</v>
      </c>
      <c r="H314" t="inlineStr">
        <is>
          <t>2023-08-31</t>
        </is>
      </c>
      <c r="I314" t="inlineStr">
        <is>
          <t>verified_original_html</t>
        </is>
      </c>
      <c r="J314" t="inlineStr">
        <is>
          <t>https://www.shzfgjj.cn/html/newxxgk/ywsjtj/216847.html</t>
        </is>
      </c>
    </row>
    <row r="315">
      <c r="A315" t="n">
        <v>2023</v>
      </c>
      <c r="B315" t="n">
        <v>8</v>
      </c>
      <c r="C315" t="inlineStr">
        <is>
          <t>嘉定</t>
        </is>
      </c>
      <c r="D315" t="n">
        <v>3.22</v>
      </c>
      <c r="E315" t="n">
        <v>40.74</v>
      </c>
      <c r="F315" t="n">
        <v>618263.8100000001</v>
      </c>
      <c r="G315" t="n">
        <v>366041.61</v>
      </c>
      <c r="H315" t="inlineStr">
        <is>
          <t>2023-08-31</t>
        </is>
      </c>
      <c r="I315" t="inlineStr">
        <is>
          <t>verified_original_html</t>
        </is>
      </c>
      <c r="J315" t="inlineStr">
        <is>
          <t>https://www.shzfgjj.cn/html/newxxgk/ywsjtj/216847.html</t>
        </is>
      </c>
    </row>
    <row r="316">
      <c r="A316" t="n">
        <v>2023</v>
      </c>
      <c r="B316" t="n">
        <v>8</v>
      </c>
      <c r="C316" t="inlineStr">
        <is>
          <t>浦东</t>
        </is>
      </c>
      <c r="D316" t="n">
        <v>10.04</v>
      </c>
      <c r="E316" t="n">
        <v>166.32</v>
      </c>
      <c r="F316" t="n">
        <v>3001142.85</v>
      </c>
      <c r="G316" t="n">
        <v>1750774</v>
      </c>
      <c r="H316" t="inlineStr">
        <is>
          <t>2023-08-31</t>
        </is>
      </c>
      <c r="I316" t="inlineStr">
        <is>
          <t>verified_original_html</t>
        </is>
      </c>
      <c r="J316" t="inlineStr">
        <is>
          <t>https://www.shzfgjj.cn/html/newxxgk/ywsjtj/216847.html</t>
        </is>
      </c>
    </row>
    <row r="317">
      <c r="A317" t="n">
        <v>2023</v>
      </c>
      <c r="B317" t="n">
        <v>8</v>
      </c>
      <c r="C317" t="inlineStr">
        <is>
          <t>奉贤</t>
        </is>
      </c>
      <c r="D317" t="n">
        <v>2.17</v>
      </c>
      <c r="E317" t="n">
        <v>21.98</v>
      </c>
      <c r="F317" t="n">
        <v>261165.26</v>
      </c>
      <c r="G317" t="n">
        <v>156234.45</v>
      </c>
      <c r="H317" t="inlineStr">
        <is>
          <t>2023-08-31</t>
        </is>
      </c>
      <c r="I317" t="inlineStr">
        <is>
          <t>verified_original_html</t>
        </is>
      </c>
      <c r="J317" t="inlineStr">
        <is>
          <t>https://www.shzfgjj.cn/html/newxxgk/ywsjtj/216847.html</t>
        </is>
      </c>
    </row>
    <row r="318">
      <c r="A318" t="n">
        <v>2023</v>
      </c>
      <c r="B318" t="n">
        <v>8</v>
      </c>
      <c r="C318" t="inlineStr">
        <is>
          <t>松江</t>
        </is>
      </c>
      <c r="D318" t="n">
        <v>3.54</v>
      </c>
      <c r="E318" t="n">
        <v>40.63</v>
      </c>
      <c r="F318" t="n">
        <v>448263.97</v>
      </c>
      <c r="G318" t="n">
        <v>267096.77</v>
      </c>
      <c r="H318" t="inlineStr">
        <is>
          <t>2023-08-31</t>
        </is>
      </c>
      <c r="I318" t="inlineStr">
        <is>
          <t>verified_original_html</t>
        </is>
      </c>
      <c r="J318" t="inlineStr">
        <is>
          <t>https://www.shzfgjj.cn/html/newxxgk/ywsjtj/216847.html</t>
        </is>
      </c>
    </row>
    <row r="319">
      <c r="A319" t="n">
        <v>2023</v>
      </c>
      <c r="B319" t="n">
        <v>8</v>
      </c>
      <c r="C319" t="inlineStr">
        <is>
          <t>金山</t>
        </is>
      </c>
      <c r="D319" t="n">
        <v>1.5</v>
      </c>
      <c r="E319" t="n">
        <v>19.9</v>
      </c>
      <c r="F319" t="n">
        <v>252456.42</v>
      </c>
      <c r="G319" t="n">
        <v>166463.97</v>
      </c>
      <c r="H319" t="inlineStr">
        <is>
          <t>2023-08-31</t>
        </is>
      </c>
      <c r="I319" t="inlineStr">
        <is>
          <t>verified_original_html</t>
        </is>
      </c>
      <c r="J319" t="inlineStr">
        <is>
          <t>https://www.shzfgjj.cn/html/newxxgk/ywsjtj/216847.html</t>
        </is>
      </c>
    </row>
    <row r="320">
      <c r="A320" t="n">
        <v>2023</v>
      </c>
      <c r="B320" t="n">
        <v>8</v>
      </c>
      <c r="C320" t="inlineStr">
        <is>
          <t>青浦</t>
        </is>
      </c>
      <c r="D320" t="n">
        <v>1.88</v>
      </c>
      <c r="E320" t="n">
        <v>26.05</v>
      </c>
      <c r="F320" t="n">
        <v>313921.34</v>
      </c>
      <c r="G320" t="n">
        <v>180600.78</v>
      </c>
      <c r="H320" t="inlineStr">
        <is>
          <t>2023-08-31</t>
        </is>
      </c>
      <c r="I320" t="inlineStr">
        <is>
          <t>verified_original_html</t>
        </is>
      </c>
      <c r="J320" t="inlineStr">
        <is>
          <t>https://www.shzfgjj.cn/html/newxxgk/ywsjtj/216847.html</t>
        </is>
      </c>
    </row>
    <row r="321">
      <c r="A321" t="n">
        <v>2023</v>
      </c>
      <c r="B321" t="n">
        <v>8</v>
      </c>
      <c r="C321" t="inlineStr">
        <is>
          <t>崇明</t>
        </is>
      </c>
      <c r="D321" t="n">
        <v>0.39</v>
      </c>
      <c r="E321" t="n">
        <v>7.29</v>
      </c>
      <c r="F321" t="n">
        <v>107326.38</v>
      </c>
      <c r="G321" t="n">
        <v>71851.28999999999</v>
      </c>
      <c r="H321" t="inlineStr">
        <is>
          <t>2023-08-31</t>
        </is>
      </c>
      <c r="I321" t="inlineStr">
        <is>
          <t>verified_original_html</t>
        </is>
      </c>
      <c r="J321" t="inlineStr">
        <is>
          <t>https://www.shzfgjj.cn/html/newxxgk/ywsjtj/216847.html</t>
        </is>
      </c>
    </row>
    <row r="322">
      <c r="A322" t="n">
        <v>2023</v>
      </c>
      <c r="B322" t="n">
        <v>9</v>
      </c>
      <c r="C322" t="inlineStr">
        <is>
          <t>黄浦</t>
        </is>
      </c>
      <c r="D322" t="n">
        <v>3.52</v>
      </c>
      <c r="E322" t="n">
        <v>122.03</v>
      </c>
      <c r="F322" t="n">
        <v>3815857.25</v>
      </c>
      <c r="G322" t="n">
        <v>3895167.08</v>
      </c>
      <c r="H322" t="inlineStr">
        <is>
          <t>2023-09-30</t>
        </is>
      </c>
      <c r="I322" t="inlineStr">
        <is>
          <t>verified_original_html</t>
        </is>
      </c>
      <c r="J322" t="inlineStr">
        <is>
          <t>https://www.shzfgjj.cn/html/newxxgk/ywsjtj/217213.html</t>
        </is>
      </c>
    </row>
    <row r="323">
      <c r="A323" t="n">
        <v>2023</v>
      </c>
      <c r="B323" t="n">
        <v>9</v>
      </c>
      <c r="C323" t="inlineStr">
        <is>
          <t>徐汇</t>
        </is>
      </c>
      <c r="D323" t="n">
        <v>5.33</v>
      </c>
      <c r="E323" t="n">
        <v>92.23999999999999</v>
      </c>
      <c r="F323" t="n">
        <v>2170683.5</v>
      </c>
      <c r="G323" t="n">
        <v>1355492.43</v>
      </c>
      <c r="H323" t="inlineStr">
        <is>
          <t>2023-09-30</t>
        </is>
      </c>
      <c r="I323" t="inlineStr">
        <is>
          <t>verified_original_html</t>
        </is>
      </c>
      <c r="J323" t="inlineStr">
        <is>
          <t>https://www.shzfgjj.cn/html/newxxgk/ywsjtj/217213.html</t>
        </is>
      </c>
    </row>
    <row r="324">
      <c r="A324" t="n">
        <v>2023</v>
      </c>
      <c r="B324" t="n">
        <v>9</v>
      </c>
      <c r="C324" t="inlineStr">
        <is>
          <t>长宁</t>
        </is>
      </c>
      <c r="D324" t="n">
        <v>2.49</v>
      </c>
      <c r="E324" t="n">
        <v>54.94</v>
      </c>
      <c r="F324" t="n">
        <v>1213554.9</v>
      </c>
      <c r="G324" t="n">
        <v>766108.45</v>
      </c>
      <c r="H324" t="inlineStr">
        <is>
          <t>2023-09-30</t>
        </is>
      </c>
      <c r="I324" t="inlineStr">
        <is>
          <t>verified_original_html</t>
        </is>
      </c>
      <c r="J324" t="inlineStr">
        <is>
          <t>https://www.shzfgjj.cn/html/newxxgk/ywsjtj/217213.html</t>
        </is>
      </c>
    </row>
    <row r="325">
      <c r="A325" t="n">
        <v>2023</v>
      </c>
      <c r="B325" t="n">
        <v>9</v>
      </c>
      <c r="C325" t="inlineStr">
        <is>
          <t>静安</t>
        </is>
      </c>
      <c r="D325" t="n">
        <v>3.83</v>
      </c>
      <c r="E325" t="n">
        <v>64.06</v>
      </c>
      <c r="F325" t="n">
        <v>1262559.19</v>
      </c>
      <c r="G325" t="n">
        <v>817779.59</v>
      </c>
      <c r="H325" t="inlineStr">
        <is>
          <t>2023-09-30</t>
        </is>
      </c>
      <c r="I325" t="inlineStr">
        <is>
          <t>verified_original_html</t>
        </is>
      </c>
      <c r="J325" t="inlineStr">
        <is>
          <t>https://www.shzfgjj.cn/html/newxxgk/ywsjtj/217213.html</t>
        </is>
      </c>
    </row>
    <row r="326">
      <c r="A326" t="n">
        <v>2023</v>
      </c>
      <c r="B326" t="n">
        <v>9</v>
      </c>
      <c r="C326" t="inlineStr">
        <is>
          <t>普陀</t>
        </is>
      </c>
      <c r="D326" t="n">
        <v>3.59</v>
      </c>
      <c r="E326" t="n">
        <v>35.6</v>
      </c>
      <c r="F326" t="n">
        <v>552212.58</v>
      </c>
      <c r="G326" t="n">
        <v>348099.13</v>
      </c>
      <c r="H326" t="inlineStr">
        <is>
          <t>2023-09-30</t>
        </is>
      </c>
      <c r="I326" t="inlineStr">
        <is>
          <t>verified_original_html</t>
        </is>
      </c>
      <c r="J326" t="inlineStr">
        <is>
          <t>https://www.shzfgjj.cn/html/newxxgk/ywsjtj/217213.html</t>
        </is>
      </c>
    </row>
    <row r="327">
      <c r="A327" t="n">
        <v>2023</v>
      </c>
      <c r="B327" t="n">
        <v>9</v>
      </c>
      <c r="C327" t="inlineStr">
        <is>
          <t>虹口</t>
        </is>
      </c>
      <c r="D327" t="n">
        <v>2.37</v>
      </c>
      <c r="E327" t="n">
        <v>29.62</v>
      </c>
      <c r="F327" t="n">
        <v>548841.99</v>
      </c>
      <c r="G327" t="n">
        <v>368532.21</v>
      </c>
      <c r="H327" t="inlineStr">
        <is>
          <t>2023-09-30</t>
        </is>
      </c>
      <c r="I327" t="inlineStr">
        <is>
          <t>verified_original_html</t>
        </is>
      </c>
      <c r="J327" t="inlineStr">
        <is>
          <t>https://www.shzfgjj.cn/html/newxxgk/ywsjtj/217213.html</t>
        </is>
      </c>
    </row>
    <row r="328">
      <c r="A328" t="n">
        <v>2023</v>
      </c>
      <c r="B328" t="n">
        <v>9</v>
      </c>
      <c r="C328" t="inlineStr">
        <is>
          <t>杨浦</t>
        </is>
      </c>
      <c r="D328" t="n">
        <v>2.48</v>
      </c>
      <c r="E328" t="n">
        <v>33.76</v>
      </c>
      <c r="F328" t="n">
        <v>728024.48</v>
      </c>
      <c r="G328" t="n">
        <v>462462.7</v>
      </c>
      <c r="H328" t="inlineStr">
        <is>
          <t>2023-09-30</t>
        </is>
      </c>
      <c r="I328" t="inlineStr">
        <is>
          <t>verified_original_html</t>
        </is>
      </c>
      <c r="J328" t="inlineStr">
        <is>
          <t>https://www.shzfgjj.cn/html/newxxgk/ywsjtj/217213.html</t>
        </is>
      </c>
    </row>
    <row r="329">
      <c r="A329" t="n">
        <v>2023</v>
      </c>
      <c r="B329" t="n">
        <v>9</v>
      </c>
      <c r="C329" t="inlineStr">
        <is>
          <t>闵行</t>
        </is>
      </c>
      <c r="D329" t="n">
        <v>6.46</v>
      </c>
      <c r="E329" t="n">
        <v>60.85</v>
      </c>
      <c r="F329" t="n">
        <v>911049.03</v>
      </c>
      <c r="G329" t="n">
        <v>564842.03</v>
      </c>
      <c r="H329" t="inlineStr">
        <is>
          <t>2023-09-30</t>
        </is>
      </c>
      <c r="I329" t="inlineStr">
        <is>
          <t>verified_original_html</t>
        </is>
      </c>
      <c r="J329" t="inlineStr">
        <is>
          <t>https://www.shzfgjj.cn/html/newxxgk/ywsjtj/217213.html</t>
        </is>
      </c>
    </row>
    <row r="330">
      <c r="A330" t="n">
        <v>2023</v>
      </c>
      <c r="B330" t="n">
        <v>9</v>
      </c>
      <c r="C330" t="inlineStr">
        <is>
          <t>宝山</t>
        </is>
      </c>
      <c r="D330" t="n">
        <v>3.81</v>
      </c>
      <c r="E330" t="n">
        <v>39.8</v>
      </c>
      <c r="F330" t="n">
        <v>667865.38</v>
      </c>
      <c r="G330" t="n">
        <v>460638.47</v>
      </c>
      <c r="H330" t="inlineStr">
        <is>
          <t>2023-09-30</t>
        </is>
      </c>
      <c r="I330" t="inlineStr">
        <is>
          <t>verified_original_html</t>
        </is>
      </c>
      <c r="J330" t="inlineStr">
        <is>
          <t>https://www.shzfgjj.cn/html/newxxgk/ywsjtj/217213.html</t>
        </is>
      </c>
    </row>
    <row r="331">
      <c r="A331" t="n">
        <v>2023</v>
      </c>
      <c r="B331" t="n">
        <v>9</v>
      </c>
      <c r="C331" t="inlineStr">
        <is>
          <t>嘉定</t>
        </is>
      </c>
      <c r="D331" t="n">
        <v>3.25</v>
      </c>
      <c r="E331" t="n">
        <v>41.1</v>
      </c>
      <c r="F331" t="n">
        <v>700926.8</v>
      </c>
      <c r="G331" t="n">
        <v>440789.54</v>
      </c>
      <c r="H331" t="inlineStr">
        <is>
          <t>2023-09-30</t>
        </is>
      </c>
      <c r="I331" t="inlineStr">
        <is>
          <t>verified_original_html</t>
        </is>
      </c>
      <c r="J331" t="inlineStr">
        <is>
          <t>https://www.shzfgjj.cn/html/newxxgk/ywsjtj/217213.html</t>
        </is>
      </c>
    </row>
    <row r="332">
      <c r="A332" t="n">
        <v>2023</v>
      </c>
      <c r="B332" t="n">
        <v>9</v>
      </c>
      <c r="C332" t="inlineStr">
        <is>
          <t>浦东</t>
        </is>
      </c>
      <c r="D332" t="n">
        <v>10.1</v>
      </c>
      <c r="E332" t="n">
        <v>166.7</v>
      </c>
      <c r="F332" t="n">
        <v>3407493.32</v>
      </c>
      <c r="G332" t="n">
        <v>2096442</v>
      </c>
      <c r="H332" t="inlineStr">
        <is>
          <t>2023-09-30</t>
        </is>
      </c>
      <c r="I332" t="inlineStr">
        <is>
          <t>verified_original_html</t>
        </is>
      </c>
      <c r="J332" t="inlineStr">
        <is>
          <t>https://www.shzfgjj.cn/html/newxxgk/ywsjtj/217213.html</t>
        </is>
      </c>
    </row>
    <row r="333">
      <c r="A333" t="n">
        <v>2023</v>
      </c>
      <c r="B333" t="n">
        <v>9</v>
      </c>
      <c r="C333" t="inlineStr">
        <is>
          <t>奉贤</t>
        </is>
      </c>
      <c r="D333" t="n">
        <v>2.19</v>
      </c>
      <c r="E333" t="n">
        <v>22.03</v>
      </c>
      <c r="F333" t="n">
        <v>295688.88</v>
      </c>
      <c r="G333" t="n">
        <v>192905.64</v>
      </c>
      <c r="H333" t="inlineStr">
        <is>
          <t>2023-09-30</t>
        </is>
      </c>
      <c r="I333" t="inlineStr">
        <is>
          <t>verified_original_html</t>
        </is>
      </c>
      <c r="J333" t="inlineStr">
        <is>
          <t>https://www.shzfgjj.cn/html/newxxgk/ywsjtj/217213.html</t>
        </is>
      </c>
    </row>
    <row r="334">
      <c r="A334" t="n">
        <v>2023</v>
      </c>
      <c r="B334" t="n">
        <v>9</v>
      </c>
      <c r="C334" t="inlineStr">
        <is>
          <t>松江</t>
        </is>
      </c>
      <c r="D334" t="n">
        <v>3.56</v>
      </c>
      <c r="E334" t="n">
        <v>40.71</v>
      </c>
      <c r="F334" t="n">
        <v>507775.87</v>
      </c>
      <c r="G334" t="n">
        <v>320430.33</v>
      </c>
      <c r="H334" t="inlineStr">
        <is>
          <t>2023-09-30</t>
        </is>
      </c>
      <c r="I334" t="inlineStr">
        <is>
          <t>verified_original_html</t>
        </is>
      </c>
      <c r="J334" t="inlineStr">
        <is>
          <t>https://www.shzfgjj.cn/html/newxxgk/ywsjtj/217213.html</t>
        </is>
      </c>
    </row>
    <row r="335">
      <c r="A335" t="n">
        <v>2023</v>
      </c>
      <c r="B335" t="n">
        <v>9</v>
      </c>
      <c r="C335" t="inlineStr">
        <is>
          <t>金山</t>
        </is>
      </c>
      <c r="D335" t="n">
        <v>1.51</v>
      </c>
      <c r="E335" t="n">
        <v>19.91</v>
      </c>
      <c r="F335" t="n">
        <v>285685.73</v>
      </c>
      <c r="G335" t="n">
        <v>206233.27</v>
      </c>
      <c r="H335" t="inlineStr">
        <is>
          <t>2023-09-30</t>
        </is>
      </c>
      <c r="I335" t="inlineStr">
        <is>
          <t>verified_original_html</t>
        </is>
      </c>
      <c r="J335" t="inlineStr">
        <is>
          <t>https://www.shzfgjj.cn/html/newxxgk/ywsjtj/217213.html</t>
        </is>
      </c>
    </row>
    <row r="336">
      <c r="A336" t="n">
        <v>2023</v>
      </c>
      <c r="B336" t="n">
        <v>9</v>
      </c>
      <c r="C336" t="inlineStr">
        <is>
          <t>青浦</t>
        </is>
      </c>
      <c r="D336" t="n">
        <v>1.89</v>
      </c>
      <c r="E336" t="n">
        <v>26.16</v>
      </c>
      <c r="F336" t="n">
        <v>354925.39</v>
      </c>
      <c r="G336" t="n">
        <v>220306.37</v>
      </c>
      <c r="H336" t="inlineStr">
        <is>
          <t>2023-09-30</t>
        </is>
      </c>
      <c r="I336" t="inlineStr">
        <is>
          <t>verified_original_html</t>
        </is>
      </c>
      <c r="J336" t="inlineStr">
        <is>
          <t>https://www.shzfgjj.cn/html/newxxgk/ywsjtj/217213.html</t>
        </is>
      </c>
    </row>
    <row r="337">
      <c r="A337" t="n">
        <v>2023</v>
      </c>
      <c r="B337" t="n">
        <v>9</v>
      </c>
      <c r="C337" t="inlineStr">
        <is>
          <t>崇明</t>
        </is>
      </c>
      <c r="D337" t="n">
        <v>0.39</v>
      </c>
      <c r="E337" t="n">
        <v>7.32</v>
      </c>
      <c r="F337" t="n">
        <v>121677.35</v>
      </c>
      <c r="G337" t="n">
        <v>86658.64999999999</v>
      </c>
      <c r="H337" t="inlineStr">
        <is>
          <t>2023-09-30</t>
        </is>
      </c>
      <c r="I337" t="inlineStr">
        <is>
          <t>verified_original_html</t>
        </is>
      </c>
      <c r="J337" t="inlineStr">
        <is>
          <t>https://www.shzfgjj.cn/html/newxxgk/ywsjtj/217213.html</t>
        </is>
      </c>
    </row>
    <row r="338">
      <c r="A338" t="n">
        <v>2023</v>
      </c>
      <c r="B338" t="n">
        <v>10</v>
      </c>
      <c r="C338" t="inlineStr">
        <is>
          <t>黄浦</t>
        </is>
      </c>
      <c r="D338" t="n">
        <v>3.53</v>
      </c>
      <c r="E338" t="n">
        <v>121.9</v>
      </c>
      <c r="F338" t="n">
        <v>4254686.47</v>
      </c>
      <c r="G338" t="n">
        <v>4296250.28</v>
      </c>
      <c r="H338" t="inlineStr">
        <is>
          <t>2023-10-31</t>
        </is>
      </c>
      <c r="I338" t="inlineStr">
        <is>
          <t>verified_original_html</t>
        </is>
      </c>
      <c r="J338" t="inlineStr">
        <is>
          <t>https://www.shzfgjj.cn/html/newxxgk/ywsjtj/217797.html</t>
        </is>
      </c>
    </row>
    <row r="339">
      <c r="A339" t="n">
        <v>2023</v>
      </c>
      <c r="B339" t="n">
        <v>10</v>
      </c>
      <c r="C339" t="inlineStr">
        <is>
          <t>徐汇</t>
        </is>
      </c>
      <c r="D339" t="n">
        <v>5.35</v>
      </c>
      <c r="E339" t="n">
        <v>92.37</v>
      </c>
      <c r="F339" t="n">
        <v>2424300.4</v>
      </c>
      <c r="G339" t="n">
        <v>1489499.7</v>
      </c>
      <c r="H339" t="inlineStr">
        <is>
          <t>2023-10-31</t>
        </is>
      </c>
      <c r="I339" t="inlineStr">
        <is>
          <t>verified_original_html</t>
        </is>
      </c>
      <c r="J339" t="inlineStr">
        <is>
          <t>https://www.shzfgjj.cn/html/newxxgk/ywsjtj/217797.html</t>
        </is>
      </c>
    </row>
    <row r="340">
      <c r="A340" t="n">
        <v>2023</v>
      </c>
      <c r="B340" t="n">
        <v>10</v>
      </c>
      <c r="C340" t="inlineStr">
        <is>
          <t>长宁</t>
        </is>
      </c>
      <c r="D340" t="n">
        <v>2.5</v>
      </c>
      <c r="E340" t="n">
        <v>54.8</v>
      </c>
      <c r="F340" t="n">
        <v>1350967.12</v>
      </c>
      <c r="G340" t="n">
        <v>840761.5600000001</v>
      </c>
      <c r="H340" t="inlineStr">
        <is>
          <t>2023-10-31</t>
        </is>
      </c>
      <c r="I340" t="inlineStr">
        <is>
          <t>verified_original_html</t>
        </is>
      </c>
      <c r="J340" t="inlineStr">
        <is>
          <t>https://www.shzfgjj.cn/html/newxxgk/ywsjtj/217797.html</t>
        </is>
      </c>
    </row>
    <row r="341">
      <c r="A341" t="n">
        <v>2023</v>
      </c>
      <c r="B341" t="n">
        <v>10</v>
      </c>
      <c r="C341" t="inlineStr">
        <is>
          <t>静安</t>
        </is>
      </c>
      <c r="D341" t="n">
        <v>3.84</v>
      </c>
      <c r="E341" t="n">
        <v>64.15000000000001</v>
      </c>
      <c r="F341" t="n">
        <v>1407147.22</v>
      </c>
      <c r="G341" t="n">
        <v>899854.98</v>
      </c>
      <c r="H341" t="inlineStr">
        <is>
          <t>2023-10-31</t>
        </is>
      </c>
      <c r="I341" t="inlineStr">
        <is>
          <t>verified_original_html</t>
        </is>
      </c>
      <c r="J341" t="inlineStr">
        <is>
          <t>https://www.shzfgjj.cn/html/newxxgk/ywsjtj/217797.html</t>
        </is>
      </c>
    </row>
    <row r="342">
      <c r="A342" t="n">
        <v>2023</v>
      </c>
      <c r="B342" t="n">
        <v>10</v>
      </c>
      <c r="C342" t="inlineStr">
        <is>
          <t>普陀</t>
        </is>
      </c>
      <c r="D342" t="n">
        <v>3.61</v>
      </c>
      <c r="E342" t="n">
        <v>35.53</v>
      </c>
      <c r="F342" t="n">
        <v>614435.3</v>
      </c>
      <c r="G342" t="n">
        <v>383039.44</v>
      </c>
      <c r="H342" t="inlineStr">
        <is>
          <t>2023-10-31</t>
        </is>
      </c>
      <c r="I342" t="inlineStr">
        <is>
          <t>verified_original_html</t>
        </is>
      </c>
      <c r="J342" t="inlineStr">
        <is>
          <t>https://www.shzfgjj.cn/html/newxxgk/ywsjtj/217797.html</t>
        </is>
      </c>
    </row>
    <row r="343">
      <c r="A343" t="n">
        <v>2023</v>
      </c>
      <c r="B343" t="n">
        <v>10</v>
      </c>
      <c r="C343" t="inlineStr">
        <is>
          <t>虹口</t>
        </is>
      </c>
      <c r="D343" t="n">
        <v>2.36</v>
      </c>
      <c r="E343" t="n">
        <v>29.56</v>
      </c>
      <c r="F343" t="n">
        <v>611655.9</v>
      </c>
      <c r="G343" t="n">
        <v>404560.02</v>
      </c>
      <c r="H343" t="inlineStr">
        <is>
          <t>2023-10-31</t>
        </is>
      </c>
      <c r="I343" t="inlineStr">
        <is>
          <t>verified_original_html</t>
        </is>
      </c>
      <c r="J343" t="inlineStr">
        <is>
          <t>https://www.shzfgjj.cn/html/newxxgk/ywsjtj/217797.html</t>
        </is>
      </c>
    </row>
    <row r="344">
      <c r="A344" t="n">
        <v>2023</v>
      </c>
      <c r="B344" t="n">
        <v>10</v>
      </c>
      <c r="C344" t="inlineStr">
        <is>
          <t>杨浦</t>
        </is>
      </c>
      <c r="D344" t="n">
        <v>2.48</v>
      </c>
      <c r="E344" t="n">
        <v>33.69</v>
      </c>
      <c r="F344" t="n">
        <v>810836.55</v>
      </c>
      <c r="G344" t="n">
        <v>508851.52</v>
      </c>
      <c r="H344" t="inlineStr">
        <is>
          <t>2023-10-31</t>
        </is>
      </c>
      <c r="I344" t="inlineStr">
        <is>
          <t>verified_original_html</t>
        </is>
      </c>
      <c r="J344" t="inlineStr">
        <is>
          <t>https://www.shzfgjj.cn/html/newxxgk/ywsjtj/217797.html</t>
        </is>
      </c>
    </row>
    <row r="345">
      <c r="A345" t="n">
        <v>2023</v>
      </c>
      <c r="B345" t="n">
        <v>10</v>
      </c>
      <c r="C345" t="inlineStr">
        <is>
          <t>闵行</t>
        </is>
      </c>
      <c r="D345" t="n">
        <v>6.53</v>
      </c>
      <c r="E345" t="n">
        <v>60.92</v>
      </c>
      <c r="F345" t="n">
        <v>1017923.83</v>
      </c>
      <c r="G345" t="n">
        <v>621963.52</v>
      </c>
      <c r="H345" t="inlineStr">
        <is>
          <t>2023-10-31</t>
        </is>
      </c>
      <c r="I345" t="inlineStr">
        <is>
          <t>verified_original_html</t>
        </is>
      </c>
      <c r="J345" t="inlineStr">
        <is>
          <t>https://www.shzfgjj.cn/html/newxxgk/ywsjtj/217797.html</t>
        </is>
      </c>
    </row>
    <row r="346">
      <c r="A346" t="n">
        <v>2023</v>
      </c>
      <c r="B346" t="n">
        <v>10</v>
      </c>
      <c r="C346" t="inlineStr">
        <is>
          <t>宝山</t>
        </is>
      </c>
      <c r="D346" t="n">
        <v>3.83</v>
      </c>
      <c r="E346" t="n">
        <v>39.71</v>
      </c>
      <c r="F346" t="n">
        <v>743289.67</v>
      </c>
      <c r="G346" t="n">
        <v>506203.12</v>
      </c>
      <c r="H346" t="inlineStr">
        <is>
          <t>2023-10-31</t>
        </is>
      </c>
      <c r="I346" t="inlineStr">
        <is>
          <t>verified_original_html</t>
        </is>
      </c>
      <c r="J346" t="inlineStr">
        <is>
          <t>https://www.shzfgjj.cn/html/newxxgk/ywsjtj/217797.html</t>
        </is>
      </c>
    </row>
    <row r="347">
      <c r="A347" t="n">
        <v>2023</v>
      </c>
      <c r="B347" t="n">
        <v>10</v>
      </c>
      <c r="C347" t="inlineStr">
        <is>
          <t>嘉定</t>
        </is>
      </c>
      <c r="D347" t="n">
        <v>3.27</v>
      </c>
      <c r="E347" t="n">
        <v>41.08</v>
      </c>
      <c r="F347" t="n">
        <v>783679.91</v>
      </c>
      <c r="G347" t="n">
        <v>483288.44</v>
      </c>
      <c r="H347" t="inlineStr">
        <is>
          <t>2023-10-31</t>
        </is>
      </c>
      <c r="I347" t="inlineStr">
        <is>
          <t>verified_original_html</t>
        </is>
      </c>
      <c r="J347" t="inlineStr">
        <is>
          <t>https://www.shzfgjj.cn/html/newxxgk/ywsjtj/217797.html</t>
        </is>
      </c>
    </row>
    <row r="348">
      <c r="A348" t="n">
        <v>2023</v>
      </c>
      <c r="B348" t="n">
        <v>10</v>
      </c>
      <c r="C348" t="inlineStr">
        <is>
          <t>浦东</t>
        </is>
      </c>
      <c r="D348" t="n">
        <v>10.15</v>
      </c>
      <c r="E348" t="n">
        <v>166.68</v>
      </c>
      <c r="F348" t="n">
        <v>3811075.23</v>
      </c>
      <c r="G348" t="n">
        <v>2307329.8</v>
      </c>
      <c r="H348" t="inlineStr">
        <is>
          <t>2023-10-31</t>
        </is>
      </c>
      <c r="I348" t="inlineStr">
        <is>
          <t>verified_original_html</t>
        </is>
      </c>
      <c r="J348" t="inlineStr">
        <is>
          <t>https://www.shzfgjj.cn/html/newxxgk/ywsjtj/217797.html</t>
        </is>
      </c>
    </row>
    <row r="349">
      <c r="A349" t="n">
        <v>2023</v>
      </c>
      <c r="B349" t="n">
        <v>10</v>
      </c>
      <c r="C349" t="inlineStr">
        <is>
          <t>奉贤</t>
        </is>
      </c>
      <c r="D349" t="n">
        <v>2.21</v>
      </c>
      <c r="E349" t="n">
        <v>22.15</v>
      </c>
      <c r="F349" t="n">
        <v>330551.54</v>
      </c>
      <c r="G349" t="n">
        <v>209964.82</v>
      </c>
      <c r="H349" t="inlineStr">
        <is>
          <t>2023-10-31</t>
        </is>
      </c>
      <c r="I349" t="inlineStr">
        <is>
          <t>verified_original_html</t>
        </is>
      </c>
      <c r="J349" t="inlineStr">
        <is>
          <t>https://www.shzfgjj.cn/html/newxxgk/ywsjtj/217797.html</t>
        </is>
      </c>
    </row>
    <row r="350">
      <c r="A350" t="n">
        <v>2023</v>
      </c>
      <c r="B350" t="n">
        <v>10</v>
      </c>
      <c r="C350" t="inlineStr">
        <is>
          <t>松江</t>
        </is>
      </c>
      <c r="D350" t="n">
        <v>3.57</v>
      </c>
      <c r="E350" t="n">
        <v>40.66</v>
      </c>
      <c r="F350" t="n">
        <v>568151.21</v>
      </c>
      <c r="G350" t="n">
        <v>350924.62</v>
      </c>
      <c r="H350" t="inlineStr">
        <is>
          <t>2023-10-31</t>
        </is>
      </c>
      <c r="I350" t="inlineStr">
        <is>
          <t>verified_original_html</t>
        </is>
      </c>
      <c r="J350" t="inlineStr">
        <is>
          <t>https://www.shzfgjj.cn/html/newxxgk/ywsjtj/217797.html</t>
        </is>
      </c>
    </row>
    <row r="351">
      <c r="A351" t="n">
        <v>2023</v>
      </c>
      <c r="B351" t="n">
        <v>10</v>
      </c>
      <c r="C351" t="inlineStr">
        <is>
          <t>金山</t>
        </is>
      </c>
      <c r="D351" t="n">
        <v>1.51</v>
      </c>
      <c r="E351" t="n">
        <v>19.85</v>
      </c>
      <c r="F351" t="n">
        <v>318623.31</v>
      </c>
      <c r="G351" t="n">
        <v>225077.19</v>
      </c>
      <c r="H351" t="inlineStr">
        <is>
          <t>2023-10-31</t>
        </is>
      </c>
      <c r="I351" t="inlineStr">
        <is>
          <t>verified_original_html</t>
        </is>
      </c>
      <c r="J351" t="inlineStr">
        <is>
          <t>https://www.shzfgjj.cn/html/newxxgk/ywsjtj/217797.html</t>
        </is>
      </c>
    </row>
    <row r="352">
      <c r="A352" t="n">
        <v>2023</v>
      </c>
      <c r="B352" t="n">
        <v>10</v>
      </c>
      <c r="C352" t="inlineStr">
        <is>
          <t>青浦</t>
        </is>
      </c>
      <c r="D352" t="n">
        <v>1.9</v>
      </c>
      <c r="E352" t="n">
        <v>26.21</v>
      </c>
      <c r="F352" t="n">
        <v>395680.44</v>
      </c>
      <c r="G352" t="n">
        <v>241997.56</v>
      </c>
      <c r="H352" t="inlineStr">
        <is>
          <t>2023-10-31</t>
        </is>
      </c>
      <c r="I352" t="inlineStr">
        <is>
          <t>verified_original_html</t>
        </is>
      </c>
      <c r="J352" t="inlineStr">
        <is>
          <t>https://www.shzfgjj.cn/html/newxxgk/ywsjtj/217797.html</t>
        </is>
      </c>
    </row>
    <row r="353">
      <c r="A353" t="n">
        <v>2023</v>
      </c>
      <c r="B353" t="n">
        <v>10</v>
      </c>
      <c r="C353" t="inlineStr">
        <is>
          <t>崇明</t>
        </is>
      </c>
      <c r="D353" t="n">
        <v>0.39</v>
      </c>
      <c r="E353" t="n">
        <v>7.33</v>
      </c>
      <c r="F353" t="n">
        <v>135945.39</v>
      </c>
      <c r="G353" t="n">
        <v>94510.07000000001</v>
      </c>
      <c r="H353" t="inlineStr">
        <is>
          <t>2023-10-31</t>
        </is>
      </c>
      <c r="I353" t="inlineStr">
        <is>
          <t>verified_original_html</t>
        </is>
      </c>
      <c r="J353" t="inlineStr">
        <is>
          <t>https://www.shzfgjj.cn/html/newxxgk/ywsjtj/217797.html</t>
        </is>
      </c>
    </row>
    <row r="354">
      <c r="A354" t="n">
        <v>2023</v>
      </c>
      <c r="B354" t="n">
        <v>11</v>
      </c>
      <c r="C354" t="inlineStr">
        <is>
          <t>黄浦</t>
        </is>
      </c>
      <c r="D354" t="n">
        <v>3.53</v>
      </c>
      <c r="E354" t="n">
        <v>121.96</v>
      </c>
      <c r="F354" t="n">
        <v>4699125.69</v>
      </c>
      <c r="G354" t="n">
        <v>4709393.24</v>
      </c>
      <c r="H354" t="inlineStr">
        <is>
          <t>2023-11-30</t>
        </is>
      </c>
      <c r="I354" t="inlineStr">
        <is>
          <t>verified_original_html</t>
        </is>
      </c>
      <c r="J354" t="inlineStr">
        <is>
          <t>https://www.shzfgjj.cn/html/newxxgk/ywsjtj/218475.html</t>
        </is>
      </c>
    </row>
    <row r="355">
      <c r="A355" t="n">
        <v>2023</v>
      </c>
      <c r="B355" t="n">
        <v>11</v>
      </c>
      <c r="C355" t="inlineStr">
        <is>
          <t>徐汇</t>
        </is>
      </c>
      <c r="D355" t="n">
        <v>5.36</v>
      </c>
      <c r="E355" t="n">
        <v>92.23999999999999</v>
      </c>
      <c r="F355" t="n">
        <v>2680116.02</v>
      </c>
      <c r="G355" t="n">
        <v>1624855.29</v>
      </c>
      <c r="H355" t="inlineStr">
        <is>
          <t>2023-11-30</t>
        </is>
      </c>
      <c r="I355" t="inlineStr">
        <is>
          <t>verified_original_html</t>
        </is>
      </c>
      <c r="J355" t="inlineStr">
        <is>
          <t>https://www.shzfgjj.cn/html/newxxgk/ywsjtj/218475.html</t>
        </is>
      </c>
    </row>
    <row r="356">
      <c r="A356" t="n">
        <v>2023</v>
      </c>
      <c r="B356" t="n">
        <v>11</v>
      </c>
      <c r="C356" t="inlineStr">
        <is>
          <t>长宁</t>
        </is>
      </c>
      <c r="D356" t="n">
        <v>2.51</v>
      </c>
      <c r="E356" t="n">
        <v>54.51</v>
      </c>
      <c r="F356" t="n">
        <v>1488909.85</v>
      </c>
      <c r="G356" t="n">
        <v>917089.22</v>
      </c>
      <c r="H356" t="inlineStr">
        <is>
          <t>2023-11-30</t>
        </is>
      </c>
      <c r="I356" t="inlineStr">
        <is>
          <t>verified_original_html</t>
        </is>
      </c>
      <c r="J356" t="inlineStr">
        <is>
          <t>https://www.shzfgjj.cn/html/newxxgk/ywsjtj/218475.html</t>
        </is>
      </c>
    </row>
    <row r="357">
      <c r="A357" t="n">
        <v>2023</v>
      </c>
      <c r="B357" t="n">
        <v>11</v>
      </c>
      <c r="C357" t="inlineStr">
        <is>
          <t>静安</t>
        </is>
      </c>
      <c r="D357" t="n">
        <v>3.85</v>
      </c>
      <c r="E357" t="n">
        <v>64.16</v>
      </c>
      <c r="F357" t="n">
        <v>1553485.01</v>
      </c>
      <c r="G357" t="n">
        <v>986793.46</v>
      </c>
      <c r="H357" t="inlineStr">
        <is>
          <t>2023-11-30</t>
        </is>
      </c>
      <c r="I357" t="inlineStr">
        <is>
          <t>verified_original_html</t>
        </is>
      </c>
      <c r="J357" t="inlineStr">
        <is>
          <t>https://www.shzfgjj.cn/html/newxxgk/ywsjtj/218475.html</t>
        </is>
      </c>
    </row>
    <row r="358">
      <c r="A358" t="n">
        <v>2023</v>
      </c>
      <c r="B358" t="n">
        <v>11</v>
      </c>
      <c r="C358" t="inlineStr">
        <is>
          <t>普陀</t>
        </is>
      </c>
      <c r="D358" t="n">
        <v>3.61</v>
      </c>
      <c r="E358" t="n">
        <v>35.43</v>
      </c>
      <c r="F358" t="n">
        <v>677326.99</v>
      </c>
      <c r="G358" t="n">
        <v>419803.92</v>
      </c>
      <c r="H358" t="inlineStr">
        <is>
          <t>2023-11-30</t>
        </is>
      </c>
      <c r="I358" t="inlineStr">
        <is>
          <t>verified_original_html</t>
        </is>
      </c>
      <c r="J358" t="inlineStr">
        <is>
          <t>https://www.shzfgjj.cn/html/newxxgk/ywsjtj/218475.html</t>
        </is>
      </c>
    </row>
    <row r="359">
      <c r="A359" t="n">
        <v>2023</v>
      </c>
      <c r="B359" t="n">
        <v>11</v>
      </c>
      <c r="C359" t="inlineStr">
        <is>
          <t>虹口</t>
        </is>
      </c>
      <c r="D359" t="n">
        <v>2.36</v>
      </c>
      <c r="E359" t="n">
        <v>29.52</v>
      </c>
      <c r="F359" t="n">
        <v>673792.46</v>
      </c>
      <c r="G359" t="n">
        <v>442795.98</v>
      </c>
      <c r="H359" t="inlineStr">
        <is>
          <t>2023-11-30</t>
        </is>
      </c>
      <c r="I359" t="inlineStr">
        <is>
          <t>verified_original_html</t>
        </is>
      </c>
      <c r="J359" t="inlineStr">
        <is>
          <t>https://www.shzfgjj.cn/html/newxxgk/ywsjtj/218475.html</t>
        </is>
      </c>
    </row>
    <row r="360">
      <c r="A360" t="n">
        <v>2023</v>
      </c>
      <c r="B360" t="n">
        <v>11</v>
      </c>
      <c r="C360" t="inlineStr">
        <is>
          <t>杨浦</t>
        </is>
      </c>
      <c r="D360" t="n">
        <v>2.49</v>
      </c>
      <c r="E360" t="n">
        <v>33.65</v>
      </c>
      <c r="F360" t="n">
        <v>893144</v>
      </c>
      <c r="G360" t="n">
        <v>556772.6899999999</v>
      </c>
      <c r="H360" t="inlineStr">
        <is>
          <t>2023-11-30</t>
        </is>
      </c>
      <c r="I360" t="inlineStr">
        <is>
          <t>verified_original_html</t>
        </is>
      </c>
      <c r="J360" t="inlineStr">
        <is>
          <t>https://www.shzfgjj.cn/html/newxxgk/ywsjtj/218475.html</t>
        </is>
      </c>
    </row>
    <row r="361">
      <c r="A361" t="n">
        <v>2023</v>
      </c>
      <c r="B361" t="n">
        <v>11</v>
      </c>
      <c r="C361" t="inlineStr">
        <is>
          <t>闵行</t>
        </is>
      </c>
      <c r="D361" t="n">
        <v>6.6</v>
      </c>
      <c r="E361" t="n">
        <v>61.18</v>
      </c>
      <c r="F361" t="n">
        <v>1125656.96</v>
      </c>
      <c r="G361" t="n">
        <v>678893.85</v>
      </c>
      <c r="H361" t="inlineStr">
        <is>
          <t>2023-11-30</t>
        </is>
      </c>
      <c r="I361" t="inlineStr">
        <is>
          <t>verified_original_html</t>
        </is>
      </c>
      <c r="J361" t="inlineStr">
        <is>
          <t>https://www.shzfgjj.cn/html/newxxgk/ywsjtj/218475.html</t>
        </is>
      </c>
    </row>
    <row r="362">
      <c r="A362" t="n">
        <v>2023</v>
      </c>
      <c r="B362" t="n">
        <v>11</v>
      </c>
      <c r="C362" t="inlineStr">
        <is>
          <t>宝山</t>
        </is>
      </c>
      <c r="D362" t="n">
        <v>3.84</v>
      </c>
      <c r="E362" t="n">
        <v>39.72</v>
      </c>
      <c r="F362" t="n">
        <v>819362.8</v>
      </c>
      <c r="G362" t="n">
        <v>552683.38</v>
      </c>
      <c r="H362" t="inlineStr">
        <is>
          <t>2023-11-30</t>
        </is>
      </c>
      <c r="I362" t="inlineStr">
        <is>
          <t>verified_original_html</t>
        </is>
      </c>
      <c r="J362" t="inlineStr">
        <is>
          <t>https://www.shzfgjj.cn/html/newxxgk/ywsjtj/218475.html</t>
        </is>
      </c>
    </row>
    <row r="363">
      <c r="A363" t="n">
        <v>2023</v>
      </c>
      <c r="B363" t="n">
        <v>11</v>
      </c>
      <c r="C363" t="inlineStr">
        <is>
          <t>嘉定</t>
        </is>
      </c>
      <c r="D363" t="n">
        <v>3.29</v>
      </c>
      <c r="E363" t="n">
        <v>41.16</v>
      </c>
      <c r="F363" t="n">
        <v>866662.4300000001</v>
      </c>
      <c r="G363" t="n">
        <v>526936.29</v>
      </c>
      <c r="H363" t="inlineStr">
        <is>
          <t>2023-11-30</t>
        </is>
      </c>
      <c r="I363" t="inlineStr">
        <is>
          <t>verified_original_html</t>
        </is>
      </c>
      <c r="J363" t="inlineStr">
        <is>
          <t>https://www.shzfgjj.cn/html/newxxgk/ywsjtj/218475.html</t>
        </is>
      </c>
    </row>
    <row r="364">
      <c r="A364" t="n">
        <v>2023</v>
      </c>
      <c r="B364" t="n">
        <v>11</v>
      </c>
      <c r="C364" t="inlineStr">
        <is>
          <t>浦东</t>
        </is>
      </c>
      <c r="D364" t="n">
        <v>10.19</v>
      </c>
      <c r="E364" t="n">
        <v>166.47</v>
      </c>
      <c r="F364" t="n">
        <v>4214697.74</v>
      </c>
      <c r="G364" t="n">
        <v>2522426.28</v>
      </c>
      <c r="H364" t="inlineStr">
        <is>
          <t>2023-11-30</t>
        </is>
      </c>
      <c r="I364" t="inlineStr">
        <is>
          <t>verified_original_html</t>
        </is>
      </c>
      <c r="J364" t="inlineStr">
        <is>
          <t>https://www.shzfgjj.cn/html/newxxgk/ywsjtj/218475.html</t>
        </is>
      </c>
    </row>
    <row r="365">
      <c r="A365" t="n">
        <v>2023</v>
      </c>
      <c r="B365" t="n">
        <v>11</v>
      </c>
      <c r="C365" t="inlineStr">
        <is>
          <t>奉贤</t>
        </is>
      </c>
      <c r="D365" t="n">
        <v>2.23</v>
      </c>
      <c r="E365" t="n">
        <v>22.16</v>
      </c>
      <c r="F365" t="n">
        <v>365010.67</v>
      </c>
      <c r="G365" t="n">
        <v>228001.31</v>
      </c>
      <c r="H365" t="inlineStr">
        <is>
          <t>2023-11-30</t>
        </is>
      </c>
      <c r="I365" t="inlineStr">
        <is>
          <t>verified_original_html</t>
        </is>
      </c>
      <c r="J365" t="inlineStr">
        <is>
          <t>https://www.shzfgjj.cn/html/newxxgk/ywsjtj/218475.html</t>
        </is>
      </c>
    </row>
    <row r="366">
      <c r="A366" t="n">
        <v>2023</v>
      </c>
      <c r="B366" t="n">
        <v>11</v>
      </c>
      <c r="C366" t="inlineStr">
        <is>
          <t>松江</t>
        </is>
      </c>
      <c r="D366" t="n">
        <v>3.59</v>
      </c>
      <c r="E366" t="n">
        <v>40.69</v>
      </c>
      <c r="F366" t="n">
        <v>628199.36</v>
      </c>
      <c r="G366" t="n">
        <v>382525.31</v>
      </c>
      <c r="H366" t="inlineStr">
        <is>
          <t>2023-11-30</t>
        </is>
      </c>
      <c r="I366" t="inlineStr">
        <is>
          <t>verified_original_html</t>
        </is>
      </c>
      <c r="J366" t="inlineStr">
        <is>
          <t>https://www.shzfgjj.cn/html/newxxgk/ywsjtj/218475.html</t>
        </is>
      </c>
    </row>
    <row r="367">
      <c r="A367" t="n">
        <v>2023</v>
      </c>
      <c r="B367" t="n">
        <v>11</v>
      </c>
      <c r="C367" t="inlineStr">
        <is>
          <t>金山</t>
        </is>
      </c>
      <c r="D367" t="n">
        <v>1.52</v>
      </c>
      <c r="E367" t="n">
        <v>19.79</v>
      </c>
      <c r="F367" t="n">
        <v>351582.84</v>
      </c>
      <c r="G367" t="n">
        <v>243865.67</v>
      </c>
      <c r="H367" t="inlineStr">
        <is>
          <t>2023-11-30</t>
        </is>
      </c>
      <c r="I367" t="inlineStr">
        <is>
          <t>verified_original_html</t>
        </is>
      </c>
      <c r="J367" t="inlineStr">
        <is>
          <t>https://www.shzfgjj.cn/html/newxxgk/ywsjtj/218475.html</t>
        </is>
      </c>
    </row>
    <row r="368">
      <c r="A368" t="n">
        <v>2023</v>
      </c>
      <c r="B368" t="n">
        <v>11</v>
      </c>
      <c r="C368" t="inlineStr">
        <is>
          <t>青浦</t>
        </is>
      </c>
      <c r="D368" t="n">
        <v>1.91</v>
      </c>
      <c r="E368" t="n">
        <v>26.27</v>
      </c>
      <c r="F368" t="n">
        <v>436983.91</v>
      </c>
      <c r="G368" t="n">
        <v>264015.89</v>
      </c>
      <c r="H368" t="inlineStr">
        <is>
          <t>2023-11-30</t>
        </is>
      </c>
      <c r="I368" t="inlineStr">
        <is>
          <t>verified_original_html</t>
        </is>
      </c>
      <c r="J368" t="inlineStr">
        <is>
          <t>https://www.shzfgjj.cn/html/newxxgk/ywsjtj/218475.html</t>
        </is>
      </c>
    </row>
    <row r="369">
      <c r="A369" t="n">
        <v>2023</v>
      </c>
      <c r="B369" t="n">
        <v>11</v>
      </c>
      <c r="C369" t="inlineStr">
        <is>
          <t>崇明</t>
        </is>
      </c>
      <c r="D369" t="n">
        <v>0.39</v>
      </c>
      <c r="E369" t="n">
        <v>7.32</v>
      </c>
      <c r="F369" t="n">
        <v>150032.2</v>
      </c>
      <c r="G369" t="n">
        <v>103076.81</v>
      </c>
      <c r="H369" t="inlineStr">
        <is>
          <t>2023-11-30</t>
        </is>
      </c>
      <c r="I369" t="inlineStr">
        <is>
          <t>verified_original_html</t>
        </is>
      </c>
      <c r="J369" t="inlineStr">
        <is>
          <t>https://www.shzfgjj.cn/html/newxxgk/ywsjtj/218475.html</t>
        </is>
      </c>
    </row>
    <row r="370">
      <c r="A370" t="n">
        <v>2023</v>
      </c>
      <c r="B370" t="n">
        <v>12</v>
      </c>
      <c r="C370" t="inlineStr">
        <is>
          <t>黄浦</t>
        </is>
      </c>
      <c r="D370" t="n">
        <v>3.53</v>
      </c>
      <c r="E370" t="n">
        <v>121.97</v>
      </c>
      <c r="F370" t="n">
        <v>5141294.46</v>
      </c>
      <c r="G370" t="n">
        <v>5115401.37</v>
      </c>
      <c r="H370" t="inlineStr">
        <is>
          <t>2023-12-31</t>
        </is>
      </c>
      <c r="I370" t="inlineStr">
        <is>
          <t>verified_original_html</t>
        </is>
      </c>
      <c r="J370" t="inlineStr">
        <is>
          <t>https://www.shzfgjj.cn/html/newxxgk/ywsjtj/219065.html</t>
        </is>
      </c>
    </row>
    <row r="371">
      <c r="A371" t="n">
        <v>2023</v>
      </c>
      <c r="B371" t="n">
        <v>12</v>
      </c>
      <c r="C371" t="inlineStr">
        <is>
          <t>徐汇</t>
        </is>
      </c>
      <c r="D371" t="n">
        <v>5.38</v>
      </c>
      <c r="E371" t="n">
        <v>92.27</v>
      </c>
      <c r="F371" t="n">
        <v>2937147.24</v>
      </c>
      <c r="G371" t="n">
        <v>1762700.16</v>
      </c>
      <c r="H371" t="inlineStr">
        <is>
          <t>2023-12-31</t>
        </is>
      </c>
      <c r="I371" t="inlineStr">
        <is>
          <t>verified_original_html</t>
        </is>
      </c>
      <c r="J371" t="inlineStr">
        <is>
          <t>https://www.shzfgjj.cn/html/newxxgk/ywsjtj/219065.html</t>
        </is>
      </c>
    </row>
    <row r="372">
      <c r="A372" t="n">
        <v>2023</v>
      </c>
      <c r="B372" t="n">
        <v>12</v>
      </c>
      <c r="C372" t="inlineStr">
        <is>
          <t>长宁</t>
        </is>
      </c>
      <c r="D372" t="n">
        <v>2.51</v>
      </c>
      <c r="E372" t="n">
        <v>53.92</v>
      </c>
      <c r="F372" t="n">
        <v>1624778.7</v>
      </c>
      <c r="G372" t="n">
        <v>992633.34</v>
      </c>
      <c r="H372" t="inlineStr">
        <is>
          <t>2023-12-31</t>
        </is>
      </c>
      <c r="I372" t="inlineStr">
        <is>
          <t>verified_original_html</t>
        </is>
      </c>
      <c r="J372" t="inlineStr">
        <is>
          <t>https://www.shzfgjj.cn/html/newxxgk/ywsjtj/219065.html</t>
        </is>
      </c>
    </row>
    <row r="373">
      <c r="A373" t="n">
        <v>2023</v>
      </c>
      <c r="B373" t="n">
        <v>12</v>
      </c>
      <c r="C373" t="inlineStr">
        <is>
          <t>静安</t>
        </is>
      </c>
      <c r="D373" t="n">
        <v>3.86</v>
      </c>
      <c r="E373" t="n">
        <v>64.34</v>
      </c>
      <c r="F373" t="n">
        <v>1707211.43</v>
      </c>
      <c r="G373" t="n">
        <v>1070627.38</v>
      </c>
      <c r="H373" t="inlineStr">
        <is>
          <t>2023-12-31</t>
        </is>
      </c>
      <c r="I373" t="inlineStr">
        <is>
          <t>verified_original_html</t>
        </is>
      </c>
      <c r="J373" t="inlineStr">
        <is>
          <t>https://www.shzfgjj.cn/html/newxxgk/ywsjtj/219065.html</t>
        </is>
      </c>
    </row>
    <row r="374">
      <c r="A374" t="n">
        <v>2023</v>
      </c>
      <c r="B374" t="n">
        <v>12</v>
      </c>
      <c r="C374" t="inlineStr">
        <is>
          <t>普陀</t>
        </is>
      </c>
      <c r="D374" t="n">
        <v>3.61</v>
      </c>
      <c r="E374" t="n">
        <v>35.36</v>
      </c>
      <c r="F374" t="n">
        <v>738234.08</v>
      </c>
      <c r="G374" t="n">
        <v>455150.27</v>
      </c>
      <c r="H374" t="inlineStr">
        <is>
          <t>2023-12-31</t>
        </is>
      </c>
      <c r="I374" t="inlineStr">
        <is>
          <t>verified_original_html</t>
        </is>
      </c>
      <c r="J374" t="inlineStr">
        <is>
          <t>https://www.shzfgjj.cn/html/newxxgk/ywsjtj/219065.html</t>
        </is>
      </c>
    </row>
    <row r="375">
      <c r="A375" t="n">
        <v>2023</v>
      </c>
      <c r="B375" t="n">
        <v>12</v>
      </c>
      <c r="C375" t="inlineStr">
        <is>
          <t>虹口</t>
        </is>
      </c>
      <c r="D375" t="n">
        <v>2.37</v>
      </c>
      <c r="E375" t="n">
        <v>29.45</v>
      </c>
      <c r="F375" t="n">
        <v>736961.17</v>
      </c>
      <c r="G375" t="n">
        <v>480114.45</v>
      </c>
      <c r="H375" t="inlineStr">
        <is>
          <t>2023-12-31</t>
        </is>
      </c>
      <c r="I375" t="inlineStr">
        <is>
          <t>verified_original_html</t>
        </is>
      </c>
      <c r="J375" t="inlineStr">
        <is>
          <t>https://www.shzfgjj.cn/html/newxxgk/ywsjtj/219065.html</t>
        </is>
      </c>
    </row>
    <row r="376">
      <c r="A376" t="n">
        <v>2023</v>
      </c>
      <c r="B376" t="n">
        <v>12</v>
      </c>
      <c r="C376" t="inlineStr">
        <is>
          <t>杨浦</t>
        </is>
      </c>
      <c r="D376" t="n">
        <v>2.5</v>
      </c>
      <c r="E376" t="n">
        <v>33.54</v>
      </c>
      <c r="F376" t="n">
        <v>976381.5600000001</v>
      </c>
      <c r="G376" t="n">
        <v>603327.37</v>
      </c>
      <c r="H376" t="inlineStr">
        <is>
          <t>2023-12-31</t>
        </is>
      </c>
      <c r="I376" t="inlineStr">
        <is>
          <t>verified_original_html</t>
        </is>
      </c>
      <c r="J376" t="inlineStr">
        <is>
          <t>https://www.shzfgjj.cn/html/newxxgk/ywsjtj/219065.html</t>
        </is>
      </c>
    </row>
    <row r="377">
      <c r="A377" t="n">
        <v>2023</v>
      </c>
      <c r="B377" t="n">
        <v>12</v>
      </c>
      <c r="C377" t="inlineStr">
        <is>
          <t>闵行</t>
        </is>
      </c>
      <c r="D377" t="n">
        <v>6.67</v>
      </c>
      <c r="E377" t="n">
        <v>61.27</v>
      </c>
      <c r="F377" t="n">
        <v>1233360.89</v>
      </c>
      <c r="G377" t="n">
        <v>738340.77</v>
      </c>
      <c r="H377" t="inlineStr">
        <is>
          <t>2023-12-31</t>
        </is>
      </c>
      <c r="I377" t="inlineStr">
        <is>
          <t>verified_original_html</t>
        </is>
      </c>
      <c r="J377" t="inlineStr">
        <is>
          <t>https://www.shzfgjj.cn/html/newxxgk/ywsjtj/219065.html</t>
        </is>
      </c>
    </row>
    <row r="378">
      <c r="A378" t="n">
        <v>2023</v>
      </c>
      <c r="B378" t="n">
        <v>12</v>
      </c>
      <c r="C378" t="inlineStr">
        <is>
          <t>宝山</t>
        </is>
      </c>
      <c r="D378" t="n">
        <v>3.86</v>
      </c>
      <c r="E378" t="n">
        <v>39.57</v>
      </c>
      <c r="F378" t="n">
        <v>894957.2</v>
      </c>
      <c r="G378" t="n">
        <v>597205.79</v>
      </c>
      <c r="H378" t="inlineStr">
        <is>
          <t>2023-12-31</t>
        </is>
      </c>
      <c r="I378" t="inlineStr">
        <is>
          <t>verified_original_html</t>
        </is>
      </c>
      <c r="J378" t="inlineStr">
        <is>
          <t>https://www.shzfgjj.cn/html/newxxgk/ywsjtj/219065.html</t>
        </is>
      </c>
    </row>
    <row r="379">
      <c r="A379" t="n">
        <v>2023</v>
      </c>
      <c r="B379" t="n">
        <v>12</v>
      </c>
      <c r="C379" t="inlineStr">
        <is>
          <t>嘉定</t>
        </is>
      </c>
      <c r="D379" t="n">
        <v>3.31</v>
      </c>
      <c r="E379" t="n">
        <v>41.08</v>
      </c>
      <c r="F379" t="n">
        <v>949506.5699999999</v>
      </c>
      <c r="G379" t="n">
        <v>569919.4</v>
      </c>
      <c r="H379" t="inlineStr">
        <is>
          <t>2023-12-31</t>
        </is>
      </c>
      <c r="I379" t="inlineStr">
        <is>
          <t>verified_original_html</t>
        </is>
      </c>
      <c r="J379" t="inlineStr">
        <is>
          <t>https://www.shzfgjj.cn/html/newxxgk/ywsjtj/219065.html</t>
        </is>
      </c>
    </row>
    <row r="380">
      <c r="A380" t="n">
        <v>2023</v>
      </c>
      <c r="B380" t="n">
        <v>12</v>
      </c>
      <c r="C380" t="inlineStr">
        <is>
          <t>浦东</t>
        </is>
      </c>
      <c r="D380" t="n">
        <v>10.22</v>
      </c>
      <c r="E380" t="n">
        <v>166.15</v>
      </c>
      <c r="F380" t="n">
        <v>4619973.63</v>
      </c>
      <c r="G380" t="n">
        <v>2738918.84</v>
      </c>
      <c r="H380" t="inlineStr">
        <is>
          <t>2023-12-31</t>
        </is>
      </c>
      <c r="I380" t="inlineStr">
        <is>
          <t>verified_original_html</t>
        </is>
      </c>
      <c r="J380" t="inlineStr">
        <is>
          <t>https://www.shzfgjj.cn/html/newxxgk/ywsjtj/219065.html</t>
        </is>
      </c>
    </row>
    <row r="381">
      <c r="A381" t="n">
        <v>2023</v>
      </c>
      <c r="B381" t="n">
        <v>12</v>
      </c>
      <c r="C381" t="inlineStr">
        <is>
          <t>奉贤</t>
        </is>
      </c>
      <c r="D381" t="n">
        <v>2.24</v>
      </c>
      <c r="E381" t="n">
        <v>22.22</v>
      </c>
      <c r="F381" t="n">
        <v>400501.42</v>
      </c>
      <c r="G381" t="n">
        <v>246221.88</v>
      </c>
      <c r="H381" t="inlineStr">
        <is>
          <t>2023-12-31</t>
        </is>
      </c>
      <c r="I381" t="inlineStr">
        <is>
          <t>verified_original_html</t>
        </is>
      </c>
      <c r="J381" t="inlineStr">
        <is>
          <t>https://www.shzfgjj.cn/html/newxxgk/ywsjtj/219065.html</t>
        </is>
      </c>
    </row>
    <row r="382">
      <c r="A382" t="n">
        <v>2023</v>
      </c>
      <c r="B382" t="n">
        <v>12</v>
      </c>
      <c r="C382" t="inlineStr">
        <is>
          <t>松江</t>
        </is>
      </c>
      <c r="D382" t="n">
        <v>3.61</v>
      </c>
      <c r="E382" t="n">
        <v>40.64</v>
      </c>
      <c r="F382" t="n">
        <v>688469.1</v>
      </c>
      <c r="G382" t="n">
        <v>414475.52</v>
      </c>
      <c r="H382" t="inlineStr">
        <is>
          <t>2023-12-31</t>
        </is>
      </c>
      <c r="I382" t="inlineStr">
        <is>
          <t>verified_original_html</t>
        </is>
      </c>
      <c r="J382" t="inlineStr">
        <is>
          <t>https://www.shzfgjj.cn/html/newxxgk/ywsjtj/219065.html</t>
        </is>
      </c>
    </row>
    <row r="383">
      <c r="A383" t="n">
        <v>2023</v>
      </c>
      <c r="B383" t="n">
        <v>12</v>
      </c>
      <c r="C383" t="inlineStr">
        <is>
          <t>金山</t>
        </is>
      </c>
      <c r="D383" t="n">
        <v>1.52</v>
      </c>
      <c r="E383" t="n">
        <v>19.73</v>
      </c>
      <c r="F383" t="n">
        <v>384213.47</v>
      </c>
      <c r="G383" t="n">
        <v>263068.52</v>
      </c>
      <c r="H383" t="inlineStr">
        <is>
          <t>2023-12-31</t>
        </is>
      </c>
      <c r="I383" t="inlineStr">
        <is>
          <t>verified_original_html</t>
        </is>
      </c>
      <c r="J383" t="inlineStr">
        <is>
          <t>https://www.shzfgjj.cn/html/newxxgk/ywsjtj/219065.html</t>
        </is>
      </c>
    </row>
    <row r="384">
      <c r="A384" t="n">
        <v>2023</v>
      </c>
      <c r="B384" t="n">
        <v>12</v>
      </c>
      <c r="C384" t="inlineStr">
        <is>
          <t>青浦</t>
        </is>
      </c>
      <c r="D384" t="n">
        <v>1.92</v>
      </c>
      <c r="E384" t="n">
        <v>26.3</v>
      </c>
      <c r="F384" t="n">
        <v>478314.64</v>
      </c>
      <c r="G384" t="n">
        <v>285748.23</v>
      </c>
      <c r="H384" t="inlineStr">
        <is>
          <t>2023-12-31</t>
        </is>
      </c>
      <c r="I384" t="inlineStr">
        <is>
          <t>verified_original_html</t>
        </is>
      </c>
      <c r="J384" t="inlineStr">
        <is>
          <t>https://www.shzfgjj.cn/html/newxxgk/ywsjtj/219065.html</t>
        </is>
      </c>
    </row>
    <row r="385">
      <c r="A385" t="n">
        <v>2023</v>
      </c>
      <c r="B385" t="n">
        <v>12</v>
      </c>
      <c r="C385" t="inlineStr">
        <is>
          <t>崇明</t>
        </is>
      </c>
      <c r="D385" t="n">
        <v>0.39</v>
      </c>
      <c r="E385" t="n">
        <v>7.3</v>
      </c>
      <c r="F385" t="n">
        <v>164200.21</v>
      </c>
      <c r="G385" t="n">
        <v>111273.83</v>
      </c>
      <c r="H385" t="inlineStr">
        <is>
          <t>2023-12-31</t>
        </is>
      </c>
      <c r="I385" t="inlineStr">
        <is>
          <t>verified_original_html</t>
        </is>
      </c>
      <c r="J385" t="inlineStr">
        <is>
          <t>https://www.shzfgjj.cn/html/newxxgk/ywsjtj/219065.html</t>
        </is>
      </c>
    </row>
    <row r="386">
      <c r="A386" t="n">
        <v>2024</v>
      </c>
      <c r="B386" t="n">
        <v>1</v>
      </c>
      <c r="C386" t="inlineStr">
        <is>
          <t>黄浦</t>
        </is>
      </c>
      <c r="D386" t="n">
        <v>3.54</v>
      </c>
      <c r="E386" t="n">
        <v>121.47</v>
      </c>
      <c r="F386" t="n">
        <v>446595.07</v>
      </c>
      <c r="G386" t="n">
        <v>426079.33</v>
      </c>
      <c r="H386" t="inlineStr">
        <is>
          <t>2024-01-31</t>
        </is>
      </c>
      <c r="I386" t="inlineStr">
        <is>
          <t>verified_original_html</t>
        </is>
      </c>
      <c r="J386" t="inlineStr">
        <is>
          <t>https://www.shzfgjj.cn/html/newxxgk/ywsjtj/219479.html</t>
        </is>
      </c>
    </row>
    <row r="387">
      <c r="A387" t="n">
        <v>2024</v>
      </c>
      <c r="B387" t="n">
        <v>1</v>
      </c>
      <c r="C387" t="inlineStr">
        <is>
          <t>徐汇</t>
        </is>
      </c>
      <c r="D387" t="n">
        <v>5.39</v>
      </c>
      <c r="E387" t="n">
        <v>91.65000000000001</v>
      </c>
      <c r="F387" t="n">
        <v>255673.72</v>
      </c>
      <c r="G387" t="n">
        <v>136633.71</v>
      </c>
      <c r="H387" t="inlineStr">
        <is>
          <t>2024-01-31</t>
        </is>
      </c>
      <c r="I387" t="inlineStr">
        <is>
          <t>verified_original_html</t>
        </is>
      </c>
      <c r="J387" t="inlineStr">
        <is>
          <t>https://www.shzfgjj.cn/html/newxxgk/ywsjtj/219479.html</t>
        </is>
      </c>
    </row>
    <row r="388">
      <c r="A388" t="n">
        <v>2024</v>
      </c>
      <c r="B388" t="n">
        <v>1</v>
      </c>
      <c r="C388" t="inlineStr">
        <is>
          <t>长宁</t>
        </is>
      </c>
      <c r="D388" t="n">
        <v>2.51</v>
      </c>
      <c r="E388" t="n">
        <v>53.81</v>
      </c>
      <c r="F388" t="n">
        <v>135859.9</v>
      </c>
      <c r="G388" t="n">
        <v>75403.97</v>
      </c>
      <c r="H388" t="inlineStr">
        <is>
          <t>2024-01-31</t>
        </is>
      </c>
      <c r="I388" t="inlineStr">
        <is>
          <t>verified_original_html</t>
        </is>
      </c>
      <c r="J388" t="inlineStr">
        <is>
          <t>https://www.shzfgjj.cn/html/newxxgk/ywsjtj/219479.html</t>
        </is>
      </c>
    </row>
    <row r="389">
      <c r="A389" t="n">
        <v>2024</v>
      </c>
      <c r="B389" t="n">
        <v>1</v>
      </c>
      <c r="C389" t="inlineStr">
        <is>
          <t>静安</t>
        </is>
      </c>
      <c r="D389" t="n">
        <v>3.87</v>
      </c>
      <c r="E389" t="n">
        <v>63.72</v>
      </c>
      <c r="F389" t="n">
        <v>140145.62</v>
      </c>
      <c r="G389" t="n">
        <v>82525.47</v>
      </c>
      <c r="H389" t="inlineStr">
        <is>
          <t>2024-01-31</t>
        </is>
      </c>
      <c r="I389" t="inlineStr">
        <is>
          <t>verified_original_html</t>
        </is>
      </c>
      <c r="J389" t="inlineStr">
        <is>
          <t>https://www.shzfgjj.cn/html/newxxgk/ywsjtj/219479.html</t>
        </is>
      </c>
    </row>
    <row r="390">
      <c r="A390" t="n">
        <v>2024</v>
      </c>
      <c r="B390" t="n">
        <v>1</v>
      </c>
      <c r="C390" t="inlineStr">
        <is>
          <t>普陀</t>
        </is>
      </c>
      <c r="D390" t="n">
        <v>3.63</v>
      </c>
      <c r="E390" t="n">
        <v>35.28</v>
      </c>
      <c r="F390" t="n">
        <v>64684.64</v>
      </c>
      <c r="G390" t="n">
        <v>34679.31</v>
      </c>
      <c r="H390" t="inlineStr">
        <is>
          <t>2024-01-31</t>
        </is>
      </c>
      <c r="I390" t="inlineStr">
        <is>
          <t>verified_original_html</t>
        </is>
      </c>
      <c r="J390" t="inlineStr">
        <is>
          <t>https://www.shzfgjj.cn/html/newxxgk/ywsjtj/219479.html</t>
        </is>
      </c>
    </row>
    <row r="391">
      <c r="A391" t="n">
        <v>2024</v>
      </c>
      <c r="B391" t="n">
        <v>1</v>
      </c>
      <c r="C391" t="inlineStr">
        <is>
          <t>虹口</t>
        </is>
      </c>
      <c r="D391" t="n">
        <v>2.37</v>
      </c>
      <c r="E391" t="n">
        <v>29.44</v>
      </c>
      <c r="F391" t="n">
        <v>64031.67</v>
      </c>
      <c r="G391" t="n">
        <v>36327.16</v>
      </c>
      <c r="H391" t="inlineStr">
        <is>
          <t>2024-01-31</t>
        </is>
      </c>
      <c r="I391" t="inlineStr">
        <is>
          <t>verified_original_html</t>
        </is>
      </c>
      <c r="J391" t="inlineStr">
        <is>
          <t>https://www.shzfgjj.cn/html/newxxgk/ywsjtj/219479.html</t>
        </is>
      </c>
    </row>
    <row r="392">
      <c r="A392" t="n">
        <v>2024</v>
      </c>
      <c r="B392" t="n">
        <v>1</v>
      </c>
      <c r="C392" t="inlineStr">
        <is>
          <t>杨浦</t>
        </is>
      </c>
      <c r="D392" t="n">
        <v>2.5</v>
      </c>
      <c r="E392" t="n">
        <v>33.35</v>
      </c>
      <c r="F392" t="n">
        <v>82705.57000000001</v>
      </c>
      <c r="G392" t="n">
        <v>44619.05</v>
      </c>
      <c r="H392" t="inlineStr">
        <is>
          <t>2024-01-31</t>
        </is>
      </c>
      <c r="I392" t="inlineStr">
        <is>
          <t>verified_original_html</t>
        </is>
      </c>
      <c r="J392" t="inlineStr">
        <is>
          <t>https://www.shzfgjj.cn/html/newxxgk/ywsjtj/219479.html</t>
        </is>
      </c>
    </row>
    <row r="393">
      <c r="A393" t="n">
        <v>2024</v>
      </c>
      <c r="B393" t="n">
        <v>1</v>
      </c>
      <c r="C393" t="inlineStr">
        <is>
          <t>闵行</t>
        </is>
      </c>
      <c r="D393" t="n">
        <v>6.74</v>
      </c>
      <c r="E393" t="n">
        <v>61.16</v>
      </c>
      <c r="F393" t="n">
        <v>107466.74</v>
      </c>
      <c r="G393" t="n">
        <v>59932.32</v>
      </c>
      <c r="H393" t="inlineStr">
        <is>
          <t>2024-01-31</t>
        </is>
      </c>
      <c r="I393" t="inlineStr">
        <is>
          <t>verified_original_html</t>
        </is>
      </c>
      <c r="J393" t="inlineStr">
        <is>
          <t>https://www.shzfgjj.cn/html/newxxgk/ywsjtj/219479.html</t>
        </is>
      </c>
    </row>
    <row r="394">
      <c r="A394" t="n">
        <v>2024</v>
      </c>
      <c r="B394" t="n">
        <v>1</v>
      </c>
      <c r="C394" t="inlineStr">
        <is>
          <t>宝山</t>
        </is>
      </c>
      <c r="D394" t="n">
        <v>3.87</v>
      </c>
      <c r="E394" t="n">
        <v>39.29</v>
      </c>
      <c r="F394" t="n">
        <v>74947.32000000001</v>
      </c>
      <c r="G394" t="n">
        <v>47034.96</v>
      </c>
      <c r="H394" t="inlineStr">
        <is>
          <t>2024-01-31</t>
        </is>
      </c>
      <c r="I394" t="inlineStr">
        <is>
          <t>verified_original_html</t>
        </is>
      </c>
      <c r="J394" t="inlineStr">
        <is>
          <t>https://www.shzfgjj.cn/html/newxxgk/ywsjtj/219479.html</t>
        </is>
      </c>
    </row>
    <row r="395">
      <c r="A395" t="n">
        <v>2024</v>
      </c>
      <c r="B395" t="n">
        <v>1</v>
      </c>
      <c r="C395" t="inlineStr">
        <is>
          <t>嘉定</t>
        </is>
      </c>
      <c r="D395" t="n">
        <v>3.32</v>
      </c>
      <c r="E395" t="n">
        <v>40.83</v>
      </c>
      <c r="F395" t="n">
        <v>82500.84</v>
      </c>
      <c r="G395" t="n">
        <v>44223.33</v>
      </c>
      <c r="H395" t="inlineStr">
        <is>
          <t>2024-01-31</t>
        </is>
      </c>
      <c r="I395" t="inlineStr">
        <is>
          <t>verified_original_html</t>
        </is>
      </c>
      <c r="J395" t="inlineStr">
        <is>
          <t>https://www.shzfgjj.cn/html/newxxgk/ywsjtj/219479.html</t>
        </is>
      </c>
    </row>
    <row r="396">
      <c r="A396" t="n">
        <v>2024</v>
      </c>
      <c r="B396" t="n">
        <v>1</v>
      </c>
      <c r="C396" t="inlineStr">
        <is>
          <t>浦东</t>
        </is>
      </c>
      <c r="D396" t="n">
        <v>10.25</v>
      </c>
      <c r="E396" t="n">
        <v>165.3</v>
      </c>
      <c r="F396" t="n">
        <v>405228.13</v>
      </c>
      <c r="G396" t="n">
        <v>215490.02</v>
      </c>
      <c r="H396" t="inlineStr">
        <is>
          <t>2024-01-31</t>
        </is>
      </c>
      <c r="I396" t="inlineStr">
        <is>
          <t>verified_original_html</t>
        </is>
      </c>
      <c r="J396" t="inlineStr">
        <is>
          <t>https://www.shzfgjj.cn/html/newxxgk/ywsjtj/219479.html</t>
        </is>
      </c>
    </row>
    <row r="397">
      <c r="A397" t="n">
        <v>2024</v>
      </c>
      <c r="B397" t="n">
        <v>1</v>
      </c>
      <c r="C397" t="inlineStr">
        <is>
          <t>奉贤</t>
        </is>
      </c>
      <c r="D397" t="n">
        <v>2.26</v>
      </c>
      <c r="E397" t="n">
        <v>22.25</v>
      </c>
      <c r="F397" t="n">
        <v>34354.78</v>
      </c>
      <c r="G397" t="n">
        <v>18242.96</v>
      </c>
      <c r="H397" t="inlineStr">
        <is>
          <t>2024-01-31</t>
        </is>
      </c>
      <c r="I397" t="inlineStr">
        <is>
          <t>verified_original_html</t>
        </is>
      </c>
      <c r="J397" t="inlineStr">
        <is>
          <t>https://www.shzfgjj.cn/html/newxxgk/ywsjtj/219479.html</t>
        </is>
      </c>
    </row>
    <row r="398">
      <c r="A398" t="n">
        <v>2024</v>
      </c>
      <c r="B398" t="n">
        <v>1</v>
      </c>
      <c r="C398" t="inlineStr">
        <is>
          <t>松江</t>
        </is>
      </c>
      <c r="D398" t="n">
        <v>3.62</v>
      </c>
      <c r="E398" t="n">
        <v>40.54</v>
      </c>
      <c r="F398" t="n">
        <v>59800.9</v>
      </c>
      <c r="G398" t="n">
        <v>32160.49</v>
      </c>
      <c r="H398" t="inlineStr">
        <is>
          <t>2024-01-31</t>
        </is>
      </c>
      <c r="I398" t="inlineStr">
        <is>
          <t>verified_original_html</t>
        </is>
      </c>
      <c r="J398" t="inlineStr">
        <is>
          <t>https://www.shzfgjj.cn/html/newxxgk/ywsjtj/219479.html</t>
        </is>
      </c>
    </row>
    <row r="399">
      <c r="A399" t="n">
        <v>2024</v>
      </c>
      <c r="B399" t="n">
        <v>1</v>
      </c>
      <c r="C399" t="inlineStr">
        <is>
          <t>金山</t>
        </is>
      </c>
      <c r="D399" t="n">
        <v>1.53</v>
      </c>
      <c r="E399" t="n">
        <v>19.65</v>
      </c>
      <c r="F399" t="n">
        <v>32633.33</v>
      </c>
      <c r="G399" t="n">
        <v>19655.37</v>
      </c>
      <c r="H399" t="inlineStr">
        <is>
          <t>2024-01-31</t>
        </is>
      </c>
      <c r="I399" t="inlineStr">
        <is>
          <t>verified_original_html</t>
        </is>
      </c>
      <c r="J399" t="inlineStr">
        <is>
          <t>https://www.shzfgjj.cn/html/newxxgk/ywsjtj/219479.html</t>
        </is>
      </c>
    </row>
    <row r="400">
      <c r="A400" t="n">
        <v>2024</v>
      </c>
      <c r="B400" t="n">
        <v>1</v>
      </c>
      <c r="C400" t="inlineStr">
        <is>
          <t>青浦</t>
        </is>
      </c>
      <c r="D400" t="n">
        <v>1.93</v>
      </c>
      <c r="E400" t="n">
        <v>26.18</v>
      </c>
      <c r="F400" t="n">
        <v>41426.92</v>
      </c>
      <c r="G400" t="n">
        <v>21710.14</v>
      </c>
      <c r="H400" t="inlineStr">
        <is>
          <t>2024-01-31</t>
        </is>
      </c>
      <c r="I400" t="inlineStr">
        <is>
          <t>verified_original_html</t>
        </is>
      </c>
      <c r="J400" t="inlineStr">
        <is>
          <t>https://www.shzfgjj.cn/html/newxxgk/ywsjtj/219479.html</t>
        </is>
      </c>
    </row>
    <row r="401">
      <c r="A401" t="n">
        <v>2024</v>
      </c>
      <c r="B401" t="n">
        <v>1</v>
      </c>
      <c r="C401" t="inlineStr">
        <is>
          <t>崇明</t>
        </is>
      </c>
      <c r="D401" t="n">
        <v>0.4</v>
      </c>
      <c r="E401" t="n">
        <v>7.29</v>
      </c>
      <c r="F401" t="n">
        <v>14156.39</v>
      </c>
      <c r="G401" t="n">
        <v>8284.780000000001</v>
      </c>
      <c r="H401" t="inlineStr">
        <is>
          <t>2024-01-31</t>
        </is>
      </c>
      <c r="I401" t="inlineStr">
        <is>
          <t>verified_original_html</t>
        </is>
      </c>
      <c r="J401" t="inlineStr">
        <is>
          <t>https://www.shzfgjj.cn/html/newxxgk/ywsjtj/219479.html</t>
        </is>
      </c>
    </row>
    <row r="402">
      <c r="A402" t="n">
        <v>2024</v>
      </c>
      <c r="B402" t="n">
        <v>2</v>
      </c>
      <c r="C402" t="inlineStr">
        <is>
          <t>黄浦</t>
        </is>
      </c>
      <c r="D402" t="n">
        <v>3.54</v>
      </c>
      <c r="E402" t="n">
        <v>120.8</v>
      </c>
      <c r="F402" t="n">
        <v>885438.02</v>
      </c>
      <c r="G402" t="n">
        <v>795444.72</v>
      </c>
      <c r="H402" t="inlineStr">
        <is>
          <t>2024-02-29</t>
        </is>
      </c>
      <c r="I402" t="inlineStr">
        <is>
          <t>verified_original_html</t>
        </is>
      </c>
      <c r="J402" t="inlineStr">
        <is>
          <t>https://www.shzfgjj.cn/html/newxxgk/ywsjtj/220043.html</t>
        </is>
      </c>
    </row>
    <row r="403">
      <c r="A403" t="n">
        <v>2024</v>
      </c>
      <c r="B403" t="n">
        <v>2</v>
      </c>
      <c r="C403" t="inlineStr">
        <is>
          <t>徐汇</t>
        </is>
      </c>
      <c r="D403" t="n">
        <v>5.4</v>
      </c>
      <c r="E403" t="n">
        <v>91.23</v>
      </c>
      <c r="F403" t="n">
        <v>506399.1</v>
      </c>
      <c r="G403" t="n">
        <v>265468.77</v>
      </c>
      <c r="H403" t="inlineStr">
        <is>
          <t>2024-02-29</t>
        </is>
      </c>
      <c r="I403" t="inlineStr">
        <is>
          <t>verified_original_html</t>
        </is>
      </c>
      <c r="J403" t="inlineStr">
        <is>
          <t>https://www.shzfgjj.cn/html/newxxgk/ywsjtj/220043.html</t>
        </is>
      </c>
    </row>
    <row r="404">
      <c r="A404" t="n">
        <v>2024</v>
      </c>
      <c r="B404" t="n">
        <v>2</v>
      </c>
      <c r="C404" t="inlineStr">
        <is>
          <t>长宁</t>
        </is>
      </c>
      <c r="D404" t="n">
        <v>2.52</v>
      </c>
      <c r="E404" t="n">
        <v>53.47</v>
      </c>
      <c r="F404" t="n">
        <v>270320.62</v>
      </c>
      <c r="G404" t="n">
        <v>145793.91</v>
      </c>
      <c r="H404" t="inlineStr">
        <is>
          <t>2024-02-29</t>
        </is>
      </c>
      <c r="I404" t="inlineStr">
        <is>
          <t>verified_original_html</t>
        </is>
      </c>
      <c r="J404" t="inlineStr">
        <is>
          <t>https://www.shzfgjj.cn/html/newxxgk/ywsjtj/220043.html</t>
        </is>
      </c>
    </row>
    <row r="405">
      <c r="A405" t="n">
        <v>2024</v>
      </c>
      <c r="B405" t="n">
        <v>2</v>
      </c>
      <c r="C405" t="inlineStr">
        <is>
          <t>静安</t>
        </is>
      </c>
      <c r="D405" t="n">
        <v>3.88</v>
      </c>
      <c r="E405" t="n">
        <v>63.27</v>
      </c>
      <c r="F405" t="n">
        <v>281688.2</v>
      </c>
      <c r="G405" t="n">
        <v>154551.83</v>
      </c>
      <c r="H405" t="inlineStr">
        <is>
          <t>2024-02-29</t>
        </is>
      </c>
      <c r="I405" t="inlineStr">
        <is>
          <t>verified_original_html</t>
        </is>
      </c>
      <c r="J405" t="inlineStr">
        <is>
          <t>https://www.shzfgjj.cn/html/newxxgk/ywsjtj/220043.html</t>
        </is>
      </c>
    </row>
    <row r="406">
      <c r="A406" t="n">
        <v>2024</v>
      </c>
      <c r="B406" t="n">
        <v>2</v>
      </c>
      <c r="C406" t="inlineStr">
        <is>
          <t>普陀</t>
        </is>
      </c>
      <c r="D406" t="n">
        <v>3.63</v>
      </c>
      <c r="E406" t="n">
        <v>34.94</v>
      </c>
      <c r="F406" t="n">
        <v>125713.93</v>
      </c>
      <c r="G406" t="n">
        <v>65984.2</v>
      </c>
      <c r="H406" t="inlineStr">
        <is>
          <t>2024-02-29</t>
        </is>
      </c>
      <c r="I406" t="inlineStr">
        <is>
          <t>verified_original_html</t>
        </is>
      </c>
      <c r="J406" t="inlineStr">
        <is>
          <t>https://www.shzfgjj.cn/html/newxxgk/ywsjtj/220043.html</t>
        </is>
      </c>
    </row>
    <row r="407">
      <c r="A407" t="n">
        <v>2024</v>
      </c>
      <c r="B407" t="n">
        <v>2</v>
      </c>
      <c r="C407" t="inlineStr">
        <is>
          <t>虹口</t>
        </is>
      </c>
      <c r="D407" t="n">
        <v>2.37</v>
      </c>
      <c r="E407" t="n">
        <v>29.22</v>
      </c>
      <c r="F407" t="n">
        <v>125164.79</v>
      </c>
      <c r="G407" t="n">
        <v>70245.58</v>
      </c>
      <c r="H407" t="inlineStr">
        <is>
          <t>2024-02-29</t>
        </is>
      </c>
      <c r="I407" t="inlineStr">
        <is>
          <t>verified_original_html</t>
        </is>
      </c>
      <c r="J407" t="inlineStr">
        <is>
          <t>https://www.shzfgjj.cn/html/newxxgk/ywsjtj/220043.html</t>
        </is>
      </c>
    </row>
    <row r="408">
      <c r="A408" t="n">
        <v>2024</v>
      </c>
      <c r="B408" t="n">
        <v>2</v>
      </c>
      <c r="C408" t="inlineStr">
        <is>
          <t>杨浦</t>
        </is>
      </c>
      <c r="D408" t="n">
        <v>2.51</v>
      </c>
      <c r="E408" t="n">
        <v>33.14</v>
      </c>
      <c r="F408" t="n">
        <v>163727.19</v>
      </c>
      <c r="G408" t="n">
        <v>87208.14999999999</v>
      </c>
      <c r="H408" t="inlineStr">
        <is>
          <t>2024-02-29</t>
        </is>
      </c>
      <c r="I408" t="inlineStr">
        <is>
          <t>verified_original_html</t>
        </is>
      </c>
      <c r="J408" t="inlineStr">
        <is>
          <t>https://www.shzfgjj.cn/html/newxxgk/ywsjtj/220043.html</t>
        </is>
      </c>
    </row>
    <row r="409">
      <c r="A409" t="n">
        <v>2024</v>
      </c>
      <c r="B409" t="n">
        <v>2</v>
      </c>
      <c r="C409" t="inlineStr">
        <is>
          <t>闵行</t>
        </is>
      </c>
      <c r="D409" t="n">
        <v>6.79</v>
      </c>
      <c r="E409" t="n">
        <v>61.02</v>
      </c>
      <c r="F409" t="n">
        <v>213490.66</v>
      </c>
      <c r="G409" t="n">
        <v>113063.95</v>
      </c>
      <c r="H409" t="inlineStr">
        <is>
          <t>2024-02-29</t>
        </is>
      </c>
      <c r="I409" t="inlineStr">
        <is>
          <t>verified_original_html</t>
        </is>
      </c>
      <c r="J409" t="inlineStr">
        <is>
          <t>https://www.shzfgjj.cn/html/newxxgk/ywsjtj/220043.html</t>
        </is>
      </c>
    </row>
    <row r="410">
      <c r="A410" t="n">
        <v>2024</v>
      </c>
      <c r="B410" t="n">
        <v>2</v>
      </c>
      <c r="C410" t="inlineStr">
        <is>
          <t>宝山</t>
        </is>
      </c>
      <c r="D410" t="n">
        <v>3.89</v>
      </c>
      <c r="E410" t="n">
        <v>39.15</v>
      </c>
      <c r="F410" t="n">
        <v>149061.4</v>
      </c>
      <c r="G410" t="n">
        <v>87482.92999999999</v>
      </c>
      <c r="H410" t="inlineStr">
        <is>
          <t>2024-02-29</t>
        </is>
      </c>
      <c r="I410" t="inlineStr">
        <is>
          <t>verified_original_html</t>
        </is>
      </c>
      <c r="J410" t="inlineStr">
        <is>
          <t>https://www.shzfgjj.cn/html/newxxgk/ywsjtj/220043.html</t>
        </is>
      </c>
    </row>
    <row r="411">
      <c r="A411" t="n">
        <v>2024</v>
      </c>
      <c r="B411" t="n">
        <v>2</v>
      </c>
      <c r="C411" t="inlineStr">
        <is>
          <t>嘉定</t>
        </is>
      </c>
      <c r="D411" t="n">
        <v>3.33</v>
      </c>
      <c r="E411" t="n">
        <v>40.75</v>
      </c>
      <c r="F411" t="n">
        <v>162852.45</v>
      </c>
      <c r="G411" t="n">
        <v>84171.64</v>
      </c>
      <c r="H411" t="inlineStr">
        <is>
          <t>2024-02-29</t>
        </is>
      </c>
      <c r="I411" t="inlineStr">
        <is>
          <t>verified_original_html</t>
        </is>
      </c>
      <c r="J411" t="inlineStr">
        <is>
          <t>https://www.shzfgjj.cn/html/newxxgk/ywsjtj/220043.html</t>
        </is>
      </c>
    </row>
    <row r="412">
      <c r="A412" t="n">
        <v>2024</v>
      </c>
      <c r="B412" t="n">
        <v>2</v>
      </c>
      <c r="C412" t="inlineStr">
        <is>
          <t>浦东</t>
        </is>
      </c>
      <c r="D412" t="n">
        <v>10.27</v>
      </c>
      <c r="E412" t="n">
        <v>164.33</v>
      </c>
      <c r="F412" t="n">
        <v>801768.09</v>
      </c>
      <c r="G412" t="n">
        <v>418726.79</v>
      </c>
      <c r="H412" t="inlineStr">
        <is>
          <t>2024-02-29</t>
        </is>
      </c>
      <c r="I412" t="inlineStr">
        <is>
          <t>verified_original_html</t>
        </is>
      </c>
      <c r="J412" t="inlineStr">
        <is>
          <t>https://www.shzfgjj.cn/html/newxxgk/ywsjtj/220043.html</t>
        </is>
      </c>
    </row>
    <row r="413">
      <c r="A413" t="n">
        <v>2024</v>
      </c>
      <c r="B413" t="n">
        <v>2</v>
      </c>
      <c r="C413" t="inlineStr">
        <is>
          <t>奉贤</t>
        </is>
      </c>
      <c r="D413" t="n">
        <v>2.27</v>
      </c>
      <c r="E413" t="n">
        <v>22.17</v>
      </c>
      <c r="F413" t="n">
        <v>68074.38</v>
      </c>
      <c r="G413" t="n">
        <v>35324.44</v>
      </c>
      <c r="H413" t="inlineStr">
        <is>
          <t>2024-02-29</t>
        </is>
      </c>
      <c r="I413" t="inlineStr">
        <is>
          <t>verified_original_html</t>
        </is>
      </c>
      <c r="J413" t="inlineStr">
        <is>
          <t>https://www.shzfgjj.cn/html/newxxgk/ywsjtj/220043.html</t>
        </is>
      </c>
    </row>
    <row r="414">
      <c r="A414" t="n">
        <v>2024</v>
      </c>
      <c r="B414" t="n">
        <v>2</v>
      </c>
      <c r="C414" t="inlineStr">
        <is>
          <t>松江</t>
        </is>
      </c>
      <c r="D414" t="n">
        <v>3.63</v>
      </c>
      <c r="E414" t="n">
        <v>40.28</v>
      </c>
      <c r="F414" t="n">
        <v>118332.38</v>
      </c>
      <c r="G414" t="n">
        <v>61593.74</v>
      </c>
      <c r="H414" t="inlineStr">
        <is>
          <t>2024-02-29</t>
        </is>
      </c>
      <c r="I414" t="inlineStr">
        <is>
          <t>verified_original_html</t>
        </is>
      </c>
      <c r="J414" t="inlineStr">
        <is>
          <t>https://www.shzfgjj.cn/html/newxxgk/ywsjtj/220043.html</t>
        </is>
      </c>
    </row>
    <row r="415">
      <c r="A415" t="n">
        <v>2024</v>
      </c>
      <c r="B415" t="n">
        <v>2</v>
      </c>
      <c r="C415" t="inlineStr">
        <is>
          <t>金山</t>
        </is>
      </c>
      <c r="D415" t="n">
        <v>1.53</v>
      </c>
      <c r="E415" t="n">
        <v>19.5</v>
      </c>
      <c r="F415" t="n">
        <v>64674.02</v>
      </c>
      <c r="G415" t="n">
        <v>36654.24</v>
      </c>
      <c r="H415" t="inlineStr">
        <is>
          <t>2024-02-29</t>
        </is>
      </c>
      <c r="I415" t="inlineStr">
        <is>
          <t>verified_original_html</t>
        </is>
      </c>
      <c r="J415" t="inlineStr">
        <is>
          <t>https://www.shzfgjj.cn/html/newxxgk/ywsjtj/220043.html</t>
        </is>
      </c>
    </row>
    <row r="416">
      <c r="A416" t="n">
        <v>2024</v>
      </c>
      <c r="B416" t="n">
        <v>2</v>
      </c>
      <c r="C416" t="inlineStr">
        <is>
          <t>青浦</t>
        </is>
      </c>
      <c r="D416" t="n">
        <v>1.94</v>
      </c>
      <c r="E416" t="n">
        <v>26.01</v>
      </c>
      <c r="F416" t="n">
        <v>81894.64999999999</v>
      </c>
      <c r="G416" t="n">
        <v>41398.51</v>
      </c>
      <c r="H416" t="inlineStr">
        <is>
          <t>2024-02-29</t>
        </is>
      </c>
      <c r="I416" t="inlineStr">
        <is>
          <t>verified_original_html</t>
        </is>
      </c>
      <c r="J416" t="inlineStr">
        <is>
          <t>https://www.shzfgjj.cn/html/newxxgk/ywsjtj/220043.html</t>
        </is>
      </c>
    </row>
    <row r="417">
      <c r="A417" t="n">
        <v>2024</v>
      </c>
      <c r="B417" t="n">
        <v>2</v>
      </c>
      <c r="C417" t="inlineStr">
        <is>
          <t>崇明</t>
        </is>
      </c>
      <c r="D417" t="n">
        <v>0.4</v>
      </c>
      <c r="E417" t="n">
        <v>7.27</v>
      </c>
      <c r="F417" t="n">
        <v>28215.63</v>
      </c>
      <c r="G417" t="n">
        <v>15517.52</v>
      </c>
      <c r="H417" t="inlineStr">
        <is>
          <t>2024-02-29</t>
        </is>
      </c>
      <c r="I417" t="inlineStr">
        <is>
          <t>verified_original_html</t>
        </is>
      </c>
      <c r="J417" t="inlineStr">
        <is>
          <t>https://www.shzfgjj.cn/html/newxxgk/ywsjtj/220043.html</t>
        </is>
      </c>
    </row>
    <row r="418">
      <c r="A418" t="n">
        <v>2024</v>
      </c>
      <c r="B418" t="n">
        <v>3</v>
      </c>
      <c r="C418" t="inlineStr">
        <is>
          <t>黄浦</t>
        </is>
      </c>
      <c r="D418" t="n">
        <v>3.55</v>
      </c>
      <c r="E418" t="n">
        <v>120.89</v>
      </c>
      <c r="F418" t="n">
        <v>1324735.05</v>
      </c>
      <c r="G418" t="n">
        <v>1213652.4</v>
      </c>
      <c r="H418" t="inlineStr">
        <is>
          <t>2024-03-31</t>
        </is>
      </c>
      <c r="I418" t="inlineStr">
        <is>
          <t>verified_original_html</t>
        </is>
      </c>
      <c r="J418" t="inlineStr">
        <is>
          <t>https://www.shzfgjj.cn/html/newxxgk/ywsjtj/220515.html</t>
        </is>
      </c>
    </row>
    <row r="419">
      <c r="A419" t="n">
        <v>2024</v>
      </c>
      <c r="B419" t="n">
        <v>3</v>
      </c>
      <c r="C419" t="inlineStr">
        <is>
          <t>徐汇</t>
        </is>
      </c>
      <c r="D419" t="n">
        <v>5.41</v>
      </c>
      <c r="E419" t="n">
        <v>90.98</v>
      </c>
      <c r="F419" t="n">
        <v>761506.3100000001</v>
      </c>
      <c r="G419" t="n">
        <v>403725.37</v>
      </c>
      <c r="H419" t="inlineStr">
        <is>
          <t>2024-03-31</t>
        </is>
      </c>
      <c r="I419" t="inlineStr">
        <is>
          <t>verified_original_html</t>
        </is>
      </c>
      <c r="J419" t="inlineStr">
        <is>
          <t>https://www.shzfgjj.cn/html/newxxgk/ywsjtj/220515.html</t>
        </is>
      </c>
    </row>
    <row r="420">
      <c r="A420" t="n">
        <v>2024</v>
      </c>
      <c r="B420" t="n">
        <v>3</v>
      </c>
      <c r="C420" t="inlineStr">
        <is>
          <t>长宁</t>
        </is>
      </c>
      <c r="D420" t="n">
        <v>2.52</v>
      </c>
      <c r="E420" t="n">
        <v>53.37</v>
      </c>
      <c r="F420" t="n">
        <v>404788.69</v>
      </c>
      <c r="G420" t="n">
        <v>220944.44</v>
      </c>
      <c r="H420" t="inlineStr">
        <is>
          <t>2024-03-31</t>
        </is>
      </c>
      <c r="I420" t="inlineStr">
        <is>
          <t>verified_original_html</t>
        </is>
      </c>
      <c r="J420" t="inlineStr">
        <is>
          <t>https://www.shzfgjj.cn/html/newxxgk/ywsjtj/220515.html</t>
        </is>
      </c>
    </row>
    <row r="421">
      <c r="A421" t="n">
        <v>2024</v>
      </c>
      <c r="B421" t="n">
        <v>3</v>
      </c>
      <c r="C421" t="inlineStr">
        <is>
          <t>静安</t>
        </is>
      </c>
      <c r="D421" t="n">
        <v>3.88</v>
      </c>
      <c r="E421" t="n">
        <v>63.34</v>
      </c>
      <c r="F421" t="n">
        <v>428034.76</v>
      </c>
      <c r="G421" t="n">
        <v>234648.9</v>
      </c>
      <c r="H421" t="inlineStr">
        <is>
          <t>2024-03-31</t>
        </is>
      </c>
      <c r="I421" t="inlineStr">
        <is>
          <t>verified_original_html</t>
        </is>
      </c>
      <c r="J421" t="inlineStr">
        <is>
          <t>https://www.shzfgjj.cn/html/newxxgk/ywsjtj/220515.html</t>
        </is>
      </c>
    </row>
    <row r="422">
      <c r="A422" t="n">
        <v>2024</v>
      </c>
      <c r="B422" t="n">
        <v>3</v>
      </c>
      <c r="C422" t="inlineStr">
        <is>
          <t>普陀</t>
        </is>
      </c>
      <c r="D422" t="n">
        <v>3.64</v>
      </c>
      <c r="E422" t="n">
        <v>34.86</v>
      </c>
      <c r="F422" t="n">
        <v>188745.35</v>
      </c>
      <c r="G422" t="n">
        <v>101063.45</v>
      </c>
      <c r="H422" t="inlineStr">
        <is>
          <t>2024-03-31</t>
        </is>
      </c>
      <c r="I422" t="inlineStr">
        <is>
          <t>verified_original_html</t>
        </is>
      </c>
      <c r="J422" t="inlineStr">
        <is>
          <t>https://www.shzfgjj.cn/html/newxxgk/ywsjtj/220515.html</t>
        </is>
      </c>
    </row>
    <row r="423">
      <c r="A423" t="n">
        <v>2024</v>
      </c>
      <c r="B423" t="n">
        <v>3</v>
      </c>
      <c r="C423" t="inlineStr">
        <is>
          <t>虹口</t>
        </is>
      </c>
      <c r="D423" t="n">
        <v>2.37</v>
      </c>
      <c r="E423" t="n">
        <v>29.14</v>
      </c>
      <c r="F423" t="n">
        <v>188892.34</v>
      </c>
      <c r="G423" t="n">
        <v>107985.55</v>
      </c>
      <c r="H423" t="inlineStr">
        <is>
          <t>2024-03-31</t>
        </is>
      </c>
      <c r="I423" t="inlineStr">
        <is>
          <t>verified_original_html</t>
        </is>
      </c>
      <c r="J423" t="inlineStr">
        <is>
          <t>https://www.shzfgjj.cn/html/newxxgk/ywsjtj/220515.html</t>
        </is>
      </c>
    </row>
    <row r="424">
      <c r="A424" t="n">
        <v>2024</v>
      </c>
      <c r="B424" t="n">
        <v>3</v>
      </c>
      <c r="C424" t="inlineStr">
        <is>
          <t>杨浦</t>
        </is>
      </c>
      <c r="D424" t="n">
        <v>2.51</v>
      </c>
      <c r="E424" t="n">
        <v>33.04</v>
      </c>
      <c r="F424" t="n">
        <v>245186.66</v>
      </c>
      <c r="G424" t="n">
        <v>132389.27</v>
      </c>
      <c r="H424" t="inlineStr">
        <is>
          <t>2024-03-31</t>
        </is>
      </c>
      <c r="I424" t="inlineStr">
        <is>
          <t>verified_original_html</t>
        </is>
      </c>
      <c r="J424" t="inlineStr">
        <is>
          <t>https://www.shzfgjj.cn/html/newxxgk/ywsjtj/220515.html</t>
        </is>
      </c>
    </row>
    <row r="425">
      <c r="A425" t="n">
        <v>2024</v>
      </c>
      <c r="B425" t="n">
        <v>3</v>
      </c>
      <c r="C425" t="inlineStr">
        <is>
          <t>闵行</t>
        </is>
      </c>
      <c r="D425" t="n">
        <v>6.86</v>
      </c>
      <c r="E425" t="n">
        <v>61.15</v>
      </c>
      <c r="F425" t="n">
        <v>320819.21</v>
      </c>
      <c r="G425" t="n">
        <v>172694.26</v>
      </c>
      <c r="H425" t="inlineStr">
        <is>
          <t>2024-03-31</t>
        </is>
      </c>
      <c r="I425" t="inlineStr">
        <is>
          <t>verified_original_html</t>
        </is>
      </c>
      <c r="J425" t="inlineStr">
        <is>
          <t>https://www.shzfgjj.cn/html/newxxgk/ywsjtj/220515.html</t>
        </is>
      </c>
    </row>
    <row r="426">
      <c r="A426" t="n">
        <v>2024</v>
      </c>
      <c r="B426" t="n">
        <v>3</v>
      </c>
      <c r="C426" t="inlineStr">
        <is>
          <t>宝山</t>
        </is>
      </c>
      <c r="D426" t="n">
        <v>3.9</v>
      </c>
      <c r="E426" t="n">
        <v>39.01</v>
      </c>
      <c r="F426" t="n">
        <v>223837.04</v>
      </c>
      <c r="G426" t="n">
        <v>131940.39</v>
      </c>
      <c r="H426" t="inlineStr">
        <is>
          <t>2024-03-31</t>
        </is>
      </c>
      <c r="I426" t="inlineStr">
        <is>
          <t>verified_original_html</t>
        </is>
      </c>
      <c r="J426" t="inlineStr">
        <is>
          <t>https://www.shzfgjj.cn/html/newxxgk/ywsjtj/220515.html</t>
        </is>
      </c>
    </row>
    <row r="427">
      <c r="A427" t="n">
        <v>2024</v>
      </c>
      <c r="B427" t="n">
        <v>3</v>
      </c>
      <c r="C427" t="inlineStr">
        <is>
          <t>嘉定</t>
        </is>
      </c>
      <c r="D427" t="n">
        <v>3.35</v>
      </c>
      <c r="E427" t="n">
        <v>40.75</v>
      </c>
      <c r="F427" t="n">
        <v>244977.87</v>
      </c>
      <c r="G427" t="n">
        <v>127597.02</v>
      </c>
      <c r="H427" t="inlineStr">
        <is>
          <t>2024-03-31</t>
        </is>
      </c>
      <c r="I427" t="inlineStr">
        <is>
          <t>verified_original_html</t>
        </is>
      </c>
      <c r="J427" t="inlineStr">
        <is>
          <t>https://www.shzfgjj.cn/html/newxxgk/ywsjtj/220515.html</t>
        </is>
      </c>
    </row>
    <row r="428">
      <c r="A428" t="n">
        <v>2024</v>
      </c>
      <c r="B428" t="n">
        <v>3</v>
      </c>
      <c r="C428" t="inlineStr">
        <is>
          <t>浦东</t>
        </is>
      </c>
      <c r="D428" t="n">
        <v>10.29</v>
      </c>
      <c r="E428" t="n">
        <v>164.03</v>
      </c>
      <c r="F428" t="n">
        <v>1202177.82</v>
      </c>
      <c r="G428" t="n">
        <v>633065.77</v>
      </c>
      <c r="H428" t="inlineStr">
        <is>
          <t>2024-03-31</t>
        </is>
      </c>
      <c r="I428" t="inlineStr">
        <is>
          <t>verified_original_html</t>
        </is>
      </c>
      <c r="J428" t="inlineStr">
        <is>
          <t>https://www.shzfgjj.cn/html/newxxgk/ywsjtj/220515.html</t>
        </is>
      </c>
    </row>
    <row r="429">
      <c r="A429" t="n">
        <v>2024</v>
      </c>
      <c r="B429" t="n">
        <v>3</v>
      </c>
      <c r="C429" t="inlineStr">
        <is>
          <t>奉贤</t>
        </is>
      </c>
      <c r="D429" t="n">
        <v>2.29</v>
      </c>
      <c r="E429" t="n">
        <v>22.25</v>
      </c>
      <c r="F429" t="n">
        <v>102822.4</v>
      </c>
      <c r="G429" t="n">
        <v>53358.06</v>
      </c>
      <c r="H429" t="inlineStr">
        <is>
          <t>2024-03-31</t>
        </is>
      </c>
      <c r="I429" t="inlineStr">
        <is>
          <t>verified_original_html</t>
        </is>
      </c>
      <c r="J429" t="inlineStr">
        <is>
          <t>https://www.shzfgjj.cn/html/newxxgk/ywsjtj/220515.html</t>
        </is>
      </c>
    </row>
    <row r="430">
      <c r="A430" t="n">
        <v>2024</v>
      </c>
      <c r="B430" t="n">
        <v>3</v>
      </c>
      <c r="C430" t="inlineStr">
        <is>
          <t>松江</t>
        </is>
      </c>
      <c r="D430" t="n">
        <v>3.65</v>
      </c>
      <c r="E430" t="n">
        <v>40.24</v>
      </c>
      <c r="F430" t="n">
        <v>177285.81</v>
      </c>
      <c r="G430" t="n">
        <v>94076.42999999999</v>
      </c>
      <c r="H430" t="inlineStr">
        <is>
          <t>2024-03-31</t>
        </is>
      </c>
      <c r="I430" t="inlineStr">
        <is>
          <t>verified_original_html</t>
        </is>
      </c>
      <c r="J430" t="inlineStr">
        <is>
          <t>https://www.shzfgjj.cn/html/newxxgk/ywsjtj/220515.html</t>
        </is>
      </c>
    </row>
    <row r="431">
      <c r="A431" t="n">
        <v>2024</v>
      </c>
      <c r="B431" t="n">
        <v>3</v>
      </c>
      <c r="C431" t="inlineStr">
        <is>
          <t>金山</t>
        </is>
      </c>
      <c r="D431" t="n">
        <v>1.54</v>
      </c>
      <c r="E431" t="n">
        <v>19.51</v>
      </c>
      <c r="F431" t="n">
        <v>97125.63</v>
      </c>
      <c r="G431" t="n">
        <v>56272.85</v>
      </c>
      <c r="H431" t="inlineStr">
        <is>
          <t>2024-03-31</t>
        </is>
      </c>
      <c r="I431" t="inlineStr">
        <is>
          <t>verified_original_html</t>
        </is>
      </c>
      <c r="J431" t="inlineStr">
        <is>
          <t>https://www.shzfgjj.cn/html/newxxgk/ywsjtj/220515.html</t>
        </is>
      </c>
    </row>
    <row r="432">
      <c r="A432" t="n">
        <v>2024</v>
      </c>
      <c r="B432" t="n">
        <v>3</v>
      </c>
      <c r="C432" t="inlineStr">
        <is>
          <t>青浦</t>
        </is>
      </c>
      <c r="D432" t="n">
        <v>1.94</v>
      </c>
      <c r="E432" t="n">
        <v>25.95</v>
      </c>
      <c r="F432" t="n">
        <v>124087.44</v>
      </c>
      <c r="G432" t="n">
        <v>63127.6</v>
      </c>
      <c r="H432" t="inlineStr">
        <is>
          <t>2024-03-31</t>
        </is>
      </c>
      <c r="I432" t="inlineStr">
        <is>
          <t>verified_original_html</t>
        </is>
      </c>
      <c r="J432" t="inlineStr">
        <is>
          <t>https://www.shzfgjj.cn/html/newxxgk/ywsjtj/220515.html</t>
        </is>
      </c>
    </row>
    <row r="433">
      <c r="A433" t="n">
        <v>2024</v>
      </c>
      <c r="B433" t="n">
        <v>3</v>
      </c>
      <c r="C433" t="inlineStr">
        <is>
          <t>崇明</t>
        </is>
      </c>
      <c r="D433" t="n">
        <v>0.4</v>
      </c>
      <c r="E433" t="n">
        <v>7.26</v>
      </c>
      <c r="F433" t="n">
        <v>42294.52</v>
      </c>
      <c r="G433" t="n">
        <v>23715.63</v>
      </c>
      <c r="H433" t="inlineStr">
        <is>
          <t>2024-03-31</t>
        </is>
      </c>
      <c r="I433" t="inlineStr">
        <is>
          <t>verified_original_html</t>
        </is>
      </c>
      <c r="J433" t="inlineStr">
        <is>
          <t>https://www.shzfgjj.cn/html/newxxgk/ywsjtj/220515.html</t>
        </is>
      </c>
    </row>
    <row r="434">
      <c r="A434" t="n">
        <v>2024</v>
      </c>
      <c r="B434" t="n">
        <v>4</v>
      </c>
      <c r="C434" t="inlineStr">
        <is>
          <t>黄浦</t>
        </is>
      </c>
      <c r="D434" t="n">
        <v>3.55</v>
      </c>
      <c r="E434" t="n">
        <v>120.41</v>
      </c>
      <c r="F434" t="n">
        <v>1772782.42</v>
      </c>
      <c r="G434" t="n">
        <v>1885639.96</v>
      </c>
      <c r="H434" t="inlineStr">
        <is>
          <t>2024-04-30</t>
        </is>
      </c>
      <c r="I434" t="inlineStr">
        <is>
          <t>verified_original_html</t>
        </is>
      </c>
      <c r="J434" t="inlineStr">
        <is>
          <t>https://www.shzfgjj.cn/html/newxxgk/ywsjtj/221201.html</t>
        </is>
      </c>
    </row>
    <row r="435">
      <c r="A435" t="n">
        <v>2024</v>
      </c>
      <c r="B435" t="n">
        <v>4</v>
      </c>
      <c r="C435" t="inlineStr">
        <is>
          <t>徐汇</t>
        </is>
      </c>
      <c r="D435" t="n">
        <v>5.43</v>
      </c>
      <c r="E435" t="n">
        <v>90.88</v>
      </c>
      <c r="F435" t="n">
        <v>1020127.25</v>
      </c>
      <c r="G435" t="n">
        <v>654762.89</v>
      </c>
      <c r="H435" t="inlineStr">
        <is>
          <t>2024-04-30</t>
        </is>
      </c>
      <c r="I435" t="inlineStr">
        <is>
          <t>verified_original_html</t>
        </is>
      </c>
      <c r="J435" t="inlineStr">
        <is>
          <t>https://www.shzfgjj.cn/html/newxxgk/ywsjtj/221201.html</t>
        </is>
      </c>
    </row>
    <row r="436">
      <c r="A436" t="n">
        <v>2024</v>
      </c>
      <c r="B436" t="n">
        <v>4</v>
      </c>
      <c r="C436" t="inlineStr">
        <is>
          <t>长宁</t>
        </is>
      </c>
      <c r="D436" t="n">
        <v>2.52</v>
      </c>
      <c r="E436" t="n">
        <v>53.4</v>
      </c>
      <c r="F436" t="n">
        <v>540188.6899999999</v>
      </c>
      <c r="G436" t="n">
        <v>354442.07</v>
      </c>
      <c r="H436" t="inlineStr">
        <is>
          <t>2024-04-30</t>
        </is>
      </c>
      <c r="I436" t="inlineStr">
        <is>
          <t>verified_original_html</t>
        </is>
      </c>
      <c r="J436" t="inlineStr">
        <is>
          <t>https://www.shzfgjj.cn/html/newxxgk/ywsjtj/221201.html</t>
        </is>
      </c>
    </row>
    <row r="437">
      <c r="A437" t="n">
        <v>2024</v>
      </c>
      <c r="B437" t="n">
        <v>4</v>
      </c>
      <c r="C437" t="inlineStr">
        <is>
          <t>静安</t>
        </is>
      </c>
      <c r="D437" t="n">
        <v>3.89</v>
      </c>
      <c r="E437" t="n">
        <v>63.18</v>
      </c>
      <c r="F437" t="n">
        <v>575604.92</v>
      </c>
      <c r="G437" t="n">
        <v>377510.93</v>
      </c>
      <c r="H437" t="inlineStr">
        <is>
          <t>2024-04-30</t>
        </is>
      </c>
      <c r="I437" t="inlineStr">
        <is>
          <t>verified_original_html</t>
        </is>
      </c>
      <c r="J437" t="inlineStr">
        <is>
          <t>https://www.shzfgjj.cn/html/newxxgk/ywsjtj/221201.html</t>
        </is>
      </c>
    </row>
    <row r="438">
      <c r="A438" t="n">
        <v>2024</v>
      </c>
      <c r="B438" t="n">
        <v>4</v>
      </c>
      <c r="C438" t="inlineStr">
        <is>
          <t>普陀</t>
        </is>
      </c>
      <c r="D438" t="n">
        <v>3.65</v>
      </c>
      <c r="E438" t="n">
        <v>34.73</v>
      </c>
      <c r="F438" t="n">
        <v>251565.54</v>
      </c>
      <c r="G438" t="n">
        <v>161764.24</v>
      </c>
      <c r="H438" t="inlineStr">
        <is>
          <t>2024-04-30</t>
        </is>
      </c>
      <c r="I438" t="inlineStr">
        <is>
          <t>verified_original_html</t>
        </is>
      </c>
      <c r="J438" t="inlineStr">
        <is>
          <t>https://www.shzfgjj.cn/html/newxxgk/ywsjtj/221201.html</t>
        </is>
      </c>
    </row>
    <row r="439">
      <c r="A439" t="n">
        <v>2024</v>
      </c>
      <c r="B439" t="n">
        <v>4</v>
      </c>
      <c r="C439" t="inlineStr">
        <is>
          <t>虹口</t>
        </is>
      </c>
      <c r="D439" t="n">
        <v>2.37</v>
      </c>
      <c r="E439" t="n">
        <v>29.12</v>
      </c>
      <c r="F439" t="n">
        <v>251234.45</v>
      </c>
      <c r="G439" t="n">
        <v>174686.59</v>
      </c>
      <c r="H439" t="inlineStr">
        <is>
          <t>2024-04-30</t>
        </is>
      </c>
      <c r="I439" t="inlineStr">
        <is>
          <t>verified_original_html</t>
        </is>
      </c>
      <c r="J439" t="inlineStr">
        <is>
          <t>https://www.shzfgjj.cn/html/newxxgk/ywsjtj/221201.html</t>
        </is>
      </c>
    </row>
    <row r="440">
      <c r="A440" t="n">
        <v>2024</v>
      </c>
      <c r="B440" t="n">
        <v>4</v>
      </c>
      <c r="C440" t="inlineStr">
        <is>
          <t>杨浦</t>
        </is>
      </c>
      <c r="D440" t="n">
        <v>2.52</v>
      </c>
      <c r="E440" t="n">
        <v>32.82</v>
      </c>
      <c r="F440" t="n">
        <v>326443.45</v>
      </c>
      <c r="G440" t="n">
        <v>213880.59</v>
      </c>
      <c r="H440" t="inlineStr">
        <is>
          <t>2024-04-30</t>
        </is>
      </c>
      <c r="I440" t="inlineStr">
        <is>
          <t>verified_original_html</t>
        </is>
      </c>
      <c r="J440" t="inlineStr">
        <is>
          <t>https://www.shzfgjj.cn/html/newxxgk/ywsjtj/221201.html</t>
        </is>
      </c>
    </row>
    <row r="441">
      <c r="A441" t="n">
        <v>2024</v>
      </c>
      <c r="B441" t="n">
        <v>4</v>
      </c>
      <c r="C441" t="inlineStr">
        <is>
          <t>闵行</t>
        </is>
      </c>
      <c r="D441" t="n">
        <v>6.93</v>
      </c>
      <c r="E441" t="n">
        <v>61.37</v>
      </c>
      <c r="F441" t="n">
        <v>428896.74</v>
      </c>
      <c r="G441" t="n">
        <v>280366.16</v>
      </c>
      <c r="H441" t="inlineStr">
        <is>
          <t>2024-04-30</t>
        </is>
      </c>
      <c r="I441" t="inlineStr">
        <is>
          <t>verified_original_html</t>
        </is>
      </c>
      <c r="J441" t="inlineStr">
        <is>
          <t>https://www.shzfgjj.cn/html/newxxgk/ywsjtj/221201.html</t>
        </is>
      </c>
    </row>
    <row r="442">
      <c r="A442" t="n">
        <v>2024</v>
      </c>
      <c r="B442" t="n">
        <v>4</v>
      </c>
      <c r="C442" t="inlineStr">
        <is>
          <t>宝山</t>
        </is>
      </c>
      <c r="D442" t="n">
        <v>3.93</v>
      </c>
      <c r="E442" t="n">
        <v>38.87</v>
      </c>
      <c r="F442" t="n">
        <v>297982.82</v>
      </c>
      <c r="G442" t="n">
        <v>215428.36</v>
      </c>
      <c r="H442" t="inlineStr">
        <is>
          <t>2024-04-30</t>
        </is>
      </c>
      <c r="I442" t="inlineStr">
        <is>
          <t>verified_original_html</t>
        </is>
      </c>
      <c r="J442" t="inlineStr">
        <is>
          <t>https://www.shzfgjj.cn/html/newxxgk/ywsjtj/221201.html</t>
        </is>
      </c>
    </row>
    <row r="443">
      <c r="A443" t="n">
        <v>2024</v>
      </c>
      <c r="B443" t="n">
        <v>4</v>
      </c>
      <c r="C443" t="inlineStr">
        <is>
          <t>嘉定</t>
        </is>
      </c>
      <c r="D443" t="n">
        <v>3.36</v>
      </c>
      <c r="E443" t="n">
        <v>41.14</v>
      </c>
      <c r="F443" t="n">
        <v>327530.57</v>
      </c>
      <c r="G443" t="n">
        <v>213388.54</v>
      </c>
      <c r="H443" t="inlineStr">
        <is>
          <t>2024-04-30</t>
        </is>
      </c>
      <c r="I443" t="inlineStr">
        <is>
          <t>verified_original_html</t>
        </is>
      </c>
      <c r="J443" t="inlineStr">
        <is>
          <t>https://www.shzfgjj.cn/html/newxxgk/ywsjtj/221201.html</t>
        </is>
      </c>
    </row>
    <row r="444">
      <c r="A444" t="n">
        <v>2024</v>
      </c>
      <c r="B444" t="n">
        <v>4</v>
      </c>
      <c r="C444" t="inlineStr">
        <is>
          <t>浦东</t>
        </is>
      </c>
      <c r="D444" t="n">
        <v>10.32</v>
      </c>
      <c r="E444" t="n">
        <v>163.95</v>
      </c>
      <c r="F444" t="n">
        <v>1603253.57</v>
      </c>
      <c r="G444" t="n">
        <v>1028315.13</v>
      </c>
      <c r="H444" t="inlineStr">
        <is>
          <t>2024-04-30</t>
        </is>
      </c>
      <c r="I444" t="inlineStr">
        <is>
          <t>verified_original_html</t>
        </is>
      </c>
      <c r="J444" t="inlineStr">
        <is>
          <t>https://www.shzfgjj.cn/html/newxxgk/ywsjtj/221201.html</t>
        </is>
      </c>
    </row>
    <row r="445">
      <c r="A445" t="n">
        <v>2024</v>
      </c>
      <c r="B445" t="n">
        <v>4</v>
      </c>
      <c r="C445" t="inlineStr">
        <is>
          <t>奉贤</t>
        </is>
      </c>
      <c r="D445" t="n">
        <v>2.32</v>
      </c>
      <c r="E445" t="n">
        <v>22.37</v>
      </c>
      <c r="F445" t="n">
        <v>137726.09</v>
      </c>
      <c r="G445" t="n">
        <v>95440.46000000001</v>
      </c>
      <c r="H445" t="inlineStr">
        <is>
          <t>2024-04-30</t>
        </is>
      </c>
      <c r="I445" t="inlineStr">
        <is>
          <t>verified_original_html</t>
        </is>
      </c>
      <c r="J445" t="inlineStr">
        <is>
          <t>https://www.shzfgjj.cn/html/newxxgk/ywsjtj/221201.html</t>
        </is>
      </c>
    </row>
    <row r="446">
      <c r="A446" t="n">
        <v>2024</v>
      </c>
      <c r="B446" t="n">
        <v>4</v>
      </c>
      <c r="C446" t="inlineStr">
        <is>
          <t>松江</t>
        </is>
      </c>
      <c r="D446" t="n">
        <v>3.67</v>
      </c>
      <c r="E446" t="n">
        <v>40.28</v>
      </c>
      <c r="F446" t="n">
        <v>237026.31</v>
      </c>
      <c r="G446" t="n">
        <v>152602.82</v>
      </c>
      <c r="H446" t="inlineStr">
        <is>
          <t>2024-04-30</t>
        </is>
      </c>
      <c r="I446" t="inlineStr">
        <is>
          <t>verified_original_html</t>
        </is>
      </c>
      <c r="J446" t="inlineStr">
        <is>
          <t>https://www.shzfgjj.cn/html/newxxgk/ywsjtj/221201.html</t>
        </is>
      </c>
    </row>
    <row r="447">
      <c r="A447" t="n">
        <v>2024</v>
      </c>
      <c r="B447" t="n">
        <v>4</v>
      </c>
      <c r="C447" t="inlineStr">
        <is>
          <t>金山</t>
        </is>
      </c>
      <c r="D447" t="n">
        <v>1.54</v>
      </c>
      <c r="E447" t="n">
        <v>19.55</v>
      </c>
      <c r="F447" t="n">
        <v>129622.29</v>
      </c>
      <c r="G447" t="n">
        <v>99734.14999999999</v>
      </c>
      <c r="H447" t="inlineStr">
        <is>
          <t>2024-04-30</t>
        </is>
      </c>
      <c r="I447" t="inlineStr">
        <is>
          <t>verified_original_html</t>
        </is>
      </c>
      <c r="J447" t="inlineStr">
        <is>
          <t>https://www.shzfgjj.cn/html/newxxgk/ywsjtj/221201.html</t>
        </is>
      </c>
    </row>
    <row r="448">
      <c r="A448" t="n">
        <v>2024</v>
      </c>
      <c r="B448" t="n">
        <v>4</v>
      </c>
      <c r="C448" t="inlineStr">
        <is>
          <t>青浦</t>
        </is>
      </c>
      <c r="D448" t="n">
        <v>1.95</v>
      </c>
      <c r="E448" t="n">
        <v>25.87</v>
      </c>
      <c r="F448" t="n">
        <v>165084.24</v>
      </c>
      <c r="G448" t="n">
        <v>104405.43</v>
      </c>
      <c r="H448" t="inlineStr">
        <is>
          <t>2024-04-30</t>
        </is>
      </c>
      <c r="I448" t="inlineStr">
        <is>
          <t>verified_original_html</t>
        </is>
      </c>
      <c r="J448" t="inlineStr">
        <is>
          <t>https://www.shzfgjj.cn/html/newxxgk/ywsjtj/221201.html</t>
        </is>
      </c>
    </row>
    <row r="449">
      <c r="A449" t="n">
        <v>2024</v>
      </c>
      <c r="B449" t="n">
        <v>4</v>
      </c>
      <c r="C449" t="inlineStr">
        <is>
          <t>崇明</t>
        </is>
      </c>
      <c r="D449" t="n">
        <v>0.4</v>
      </c>
      <c r="E449" t="n">
        <v>7.27</v>
      </c>
      <c r="F449" t="n">
        <v>56445.18</v>
      </c>
      <c r="G449" t="n">
        <v>41899.49</v>
      </c>
      <c r="H449" t="inlineStr">
        <is>
          <t>2024-04-30</t>
        </is>
      </c>
      <c r="I449" t="inlineStr">
        <is>
          <t>verified_original_html</t>
        </is>
      </c>
      <c r="J449" t="inlineStr">
        <is>
          <t>https://www.shzfgjj.cn/html/newxxgk/ywsjtj/221201.html</t>
        </is>
      </c>
    </row>
    <row r="450">
      <c r="A450" t="n">
        <v>2024</v>
      </c>
      <c r="B450" t="n">
        <v>5</v>
      </c>
      <c r="C450" t="inlineStr">
        <is>
          <t>黄浦</t>
        </is>
      </c>
      <c r="D450" t="n">
        <v>3.56</v>
      </c>
      <c r="E450" t="n">
        <v>120.12</v>
      </c>
      <c r="F450" t="n">
        <v>2210265.51</v>
      </c>
      <c r="G450" t="n">
        <v>2278689.63</v>
      </c>
      <c r="H450" t="inlineStr">
        <is>
          <t>2024-05-31</t>
        </is>
      </c>
      <c r="I450" t="inlineStr">
        <is>
          <t>verified_original_html</t>
        </is>
      </c>
      <c r="J450" t="inlineStr">
        <is>
          <t>https://www.shzfgjj.cn/html/newxxgk/ywsjtj/221946.html</t>
        </is>
      </c>
    </row>
    <row r="451">
      <c r="A451" t="n">
        <v>2024</v>
      </c>
      <c r="B451" t="n">
        <v>5</v>
      </c>
      <c r="C451" t="inlineStr">
        <is>
          <t>徐汇</t>
        </is>
      </c>
      <c r="D451" t="n">
        <v>5.46</v>
      </c>
      <c r="E451" t="n">
        <v>90.91</v>
      </c>
      <c r="F451" t="n">
        <v>1269685.03</v>
      </c>
      <c r="G451" t="n">
        <v>785610.25</v>
      </c>
      <c r="H451" t="inlineStr">
        <is>
          <t>2024-05-31</t>
        </is>
      </c>
      <c r="I451" t="inlineStr">
        <is>
          <t>verified_original_html</t>
        </is>
      </c>
      <c r="J451" t="inlineStr">
        <is>
          <t>https://www.shzfgjj.cn/html/newxxgk/ywsjtj/221946.html</t>
        </is>
      </c>
    </row>
    <row r="452">
      <c r="A452" t="n">
        <v>2024</v>
      </c>
      <c r="B452" t="n">
        <v>5</v>
      </c>
      <c r="C452" t="inlineStr">
        <is>
          <t>长宁</t>
        </is>
      </c>
      <c r="D452" t="n">
        <v>2.52</v>
      </c>
      <c r="E452" t="n">
        <v>52.74</v>
      </c>
      <c r="F452" t="n">
        <v>674951.2</v>
      </c>
      <c r="G452" t="n">
        <v>425296.86</v>
      </c>
      <c r="H452" t="inlineStr">
        <is>
          <t>2024-05-31</t>
        </is>
      </c>
      <c r="I452" t="inlineStr">
        <is>
          <t>verified_original_html</t>
        </is>
      </c>
      <c r="J452" t="inlineStr">
        <is>
          <t>https://www.shzfgjj.cn/html/newxxgk/ywsjtj/221946.html</t>
        </is>
      </c>
    </row>
    <row r="453">
      <c r="A453" t="n">
        <v>2024</v>
      </c>
      <c r="B453" t="n">
        <v>5</v>
      </c>
      <c r="C453" t="inlineStr">
        <is>
          <t>静安</t>
        </is>
      </c>
      <c r="D453" t="n">
        <v>3.91</v>
      </c>
      <c r="E453" t="n">
        <v>63.07</v>
      </c>
      <c r="F453" t="n">
        <v>718679.45</v>
      </c>
      <c r="G453" t="n">
        <v>455013.61</v>
      </c>
      <c r="H453" t="inlineStr">
        <is>
          <t>2024-05-31</t>
        </is>
      </c>
      <c r="I453" t="inlineStr">
        <is>
          <t>verified_original_html</t>
        </is>
      </c>
      <c r="J453" t="inlineStr">
        <is>
          <t>https://www.shzfgjj.cn/html/newxxgk/ywsjtj/221946.html</t>
        </is>
      </c>
    </row>
    <row r="454">
      <c r="A454" t="n">
        <v>2024</v>
      </c>
      <c r="B454" t="n">
        <v>5</v>
      </c>
      <c r="C454" t="inlineStr">
        <is>
          <t>普陀</t>
        </is>
      </c>
      <c r="D454" t="n">
        <v>3.67</v>
      </c>
      <c r="E454" t="n">
        <v>34.7</v>
      </c>
      <c r="F454" t="n">
        <v>312874.9</v>
      </c>
      <c r="G454" t="n">
        <v>194409.38</v>
      </c>
      <c r="H454" t="inlineStr">
        <is>
          <t>2024-05-31</t>
        </is>
      </c>
      <c r="I454" t="inlineStr">
        <is>
          <t>verified_original_html</t>
        </is>
      </c>
      <c r="J454" t="inlineStr">
        <is>
          <t>https://www.shzfgjj.cn/html/newxxgk/ywsjtj/221946.html</t>
        </is>
      </c>
    </row>
    <row r="455">
      <c r="A455" t="n">
        <v>2024</v>
      </c>
      <c r="B455" t="n">
        <v>5</v>
      </c>
      <c r="C455" t="inlineStr">
        <is>
          <t>虹口</t>
        </is>
      </c>
      <c r="D455" t="n">
        <v>2.37</v>
      </c>
      <c r="E455" t="n">
        <v>29.1</v>
      </c>
      <c r="F455" t="n">
        <v>313308.73</v>
      </c>
      <c r="G455" t="n">
        <v>208035.86</v>
      </c>
      <c r="H455" t="inlineStr">
        <is>
          <t>2024-05-31</t>
        </is>
      </c>
      <c r="I455" t="inlineStr">
        <is>
          <t>verified_original_html</t>
        </is>
      </c>
      <c r="J455" t="inlineStr">
        <is>
          <t>https://www.shzfgjj.cn/html/newxxgk/ywsjtj/221946.html</t>
        </is>
      </c>
    </row>
    <row r="456">
      <c r="A456" t="n">
        <v>2024</v>
      </c>
      <c r="B456" t="n">
        <v>5</v>
      </c>
      <c r="C456" t="inlineStr">
        <is>
          <t>杨浦</t>
        </is>
      </c>
      <c r="D456" t="n">
        <v>2.52</v>
      </c>
      <c r="E456" t="n">
        <v>32.72</v>
      </c>
      <c r="F456" t="n">
        <v>405972.94</v>
      </c>
      <c r="G456" t="n">
        <v>257987.45</v>
      </c>
      <c r="H456" t="inlineStr">
        <is>
          <t>2024-05-31</t>
        </is>
      </c>
      <c r="I456" t="inlineStr">
        <is>
          <t>verified_original_html</t>
        </is>
      </c>
      <c r="J456" t="inlineStr">
        <is>
          <t>https://www.shzfgjj.cn/html/newxxgk/ywsjtj/221946.html</t>
        </is>
      </c>
    </row>
    <row r="457">
      <c r="A457" t="n">
        <v>2024</v>
      </c>
      <c r="B457" t="n">
        <v>5</v>
      </c>
      <c r="C457" t="inlineStr">
        <is>
          <t>闵行</t>
        </is>
      </c>
      <c r="D457" t="n">
        <v>7.02</v>
      </c>
      <c r="E457" t="n">
        <v>61.87</v>
      </c>
      <c r="F457" t="n">
        <v>536490.3199999999</v>
      </c>
      <c r="G457" t="n">
        <v>335910.18</v>
      </c>
      <c r="H457" t="inlineStr">
        <is>
          <t>2024-05-31</t>
        </is>
      </c>
      <c r="I457" t="inlineStr">
        <is>
          <t>verified_original_html</t>
        </is>
      </c>
      <c r="J457" t="inlineStr">
        <is>
          <t>https://www.shzfgjj.cn/html/newxxgk/ywsjtj/221946.html</t>
        </is>
      </c>
    </row>
    <row r="458">
      <c r="A458" t="n">
        <v>2024</v>
      </c>
      <c r="B458" t="n">
        <v>5</v>
      </c>
      <c r="C458" t="inlineStr">
        <is>
          <t>宝山</t>
        </is>
      </c>
      <c r="D458" t="n">
        <v>3.96</v>
      </c>
      <c r="E458" t="n">
        <v>38.87</v>
      </c>
      <c r="F458" t="n">
        <v>371506.55</v>
      </c>
      <c r="G458" t="n">
        <v>254552.98</v>
      </c>
      <c r="H458" t="inlineStr">
        <is>
          <t>2024-05-31</t>
        </is>
      </c>
      <c r="I458" t="inlineStr">
        <is>
          <t>verified_original_html</t>
        </is>
      </c>
      <c r="J458" t="inlineStr">
        <is>
          <t>https://www.shzfgjj.cn/html/newxxgk/ywsjtj/221946.html</t>
        </is>
      </c>
    </row>
    <row r="459">
      <c r="A459" t="n">
        <v>2024</v>
      </c>
      <c r="B459" t="n">
        <v>5</v>
      </c>
      <c r="C459" t="inlineStr">
        <is>
          <t>嘉定</t>
        </is>
      </c>
      <c r="D459" t="n">
        <v>3.39</v>
      </c>
      <c r="E459" t="n">
        <v>41.04</v>
      </c>
      <c r="F459" t="n">
        <v>408929.81</v>
      </c>
      <c r="G459" t="n">
        <v>254443.21</v>
      </c>
      <c r="H459" t="inlineStr">
        <is>
          <t>2024-05-31</t>
        </is>
      </c>
      <c r="I459" t="inlineStr">
        <is>
          <t>verified_original_html</t>
        </is>
      </c>
      <c r="J459" t="inlineStr">
        <is>
          <t>https://www.shzfgjj.cn/html/newxxgk/ywsjtj/221946.html</t>
        </is>
      </c>
    </row>
    <row r="460">
      <c r="A460" t="n">
        <v>2024</v>
      </c>
      <c r="B460" t="n">
        <v>5</v>
      </c>
      <c r="C460" t="inlineStr">
        <is>
          <t>浦东</t>
        </is>
      </c>
      <c r="D460" t="n">
        <v>10.38</v>
      </c>
      <c r="E460" t="n">
        <v>164.07</v>
      </c>
      <c r="F460" t="n">
        <v>2000737.67</v>
      </c>
      <c r="G460" t="n">
        <v>1232592.85</v>
      </c>
      <c r="H460" t="inlineStr">
        <is>
          <t>2024-05-31</t>
        </is>
      </c>
      <c r="I460" t="inlineStr">
        <is>
          <t>verified_original_html</t>
        </is>
      </c>
      <c r="J460" t="inlineStr">
        <is>
          <t>https://www.shzfgjj.cn/html/newxxgk/ywsjtj/221946.html</t>
        </is>
      </c>
    </row>
    <row r="461">
      <c r="A461" t="n">
        <v>2024</v>
      </c>
      <c r="B461" t="n">
        <v>5</v>
      </c>
      <c r="C461" t="inlineStr">
        <is>
          <t>奉贤</t>
        </is>
      </c>
      <c r="D461" t="n">
        <v>2.34</v>
      </c>
      <c r="E461" t="n">
        <v>22.44</v>
      </c>
      <c r="F461" t="n">
        <v>172527.75</v>
      </c>
      <c r="G461" t="n">
        <v>111460.95</v>
      </c>
      <c r="H461" t="inlineStr">
        <is>
          <t>2024-05-31</t>
        </is>
      </c>
      <c r="I461" t="inlineStr">
        <is>
          <t>verified_original_html</t>
        </is>
      </c>
      <c r="J461" t="inlineStr">
        <is>
          <t>https://www.shzfgjj.cn/html/newxxgk/ywsjtj/221946.html</t>
        </is>
      </c>
    </row>
    <row r="462">
      <c r="A462" t="n">
        <v>2024</v>
      </c>
      <c r="B462" t="n">
        <v>5</v>
      </c>
      <c r="C462" t="inlineStr">
        <is>
          <t>松江</t>
        </is>
      </c>
      <c r="D462" t="n">
        <v>3.7</v>
      </c>
      <c r="E462" t="n">
        <v>40.32</v>
      </c>
      <c r="F462" t="n">
        <v>295824.47</v>
      </c>
      <c r="G462" t="n">
        <v>182734.79</v>
      </c>
      <c r="H462" t="inlineStr">
        <is>
          <t>2024-05-31</t>
        </is>
      </c>
      <c r="I462" t="inlineStr">
        <is>
          <t>verified_original_html</t>
        </is>
      </c>
      <c r="J462" t="inlineStr">
        <is>
          <t>https://www.shzfgjj.cn/html/newxxgk/ywsjtj/221946.html</t>
        </is>
      </c>
    </row>
    <row r="463">
      <c r="A463" t="n">
        <v>2024</v>
      </c>
      <c r="B463" t="n">
        <v>5</v>
      </c>
      <c r="C463" t="inlineStr">
        <is>
          <t>金山</t>
        </is>
      </c>
      <c r="D463" t="n">
        <v>1.55</v>
      </c>
      <c r="E463" t="n">
        <v>19.54</v>
      </c>
      <c r="F463" t="n">
        <v>162014.9</v>
      </c>
      <c r="G463" t="n">
        <v>118029.24</v>
      </c>
      <c r="H463" t="inlineStr">
        <is>
          <t>2024-05-31</t>
        </is>
      </c>
      <c r="I463" t="inlineStr">
        <is>
          <t>verified_original_html</t>
        </is>
      </c>
      <c r="J463" t="inlineStr">
        <is>
          <t>https://www.shzfgjj.cn/html/newxxgk/ywsjtj/221946.html</t>
        </is>
      </c>
    </row>
    <row r="464">
      <c r="A464" t="n">
        <v>2024</v>
      </c>
      <c r="B464" t="n">
        <v>5</v>
      </c>
      <c r="C464" t="inlineStr">
        <is>
          <t>青浦</t>
        </is>
      </c>
      <c r="D464" t="n">
        <v>1.96</v>
      </c>
      <c r="E464" t="n">
        <v>25.72</v>
      </c>
      <c r="F464" t="n">
        <v>205493.61</v>
      </c>
      <c r="G464" t="n">
        <v>124724.37</v>
      </c>
      <c r="H464" t="inlineStr">
        <is>
          <t>2024-05-31</t>
        </is>
      </c>
      <c r="I464" t="inlineStr">
        <is>
          <t>verified_original_html</t>
        </is>
      </c>
      <c r="J464" t="inlineStr">
        <is>
          <t>https://www.shzfgjj.cn/html/newxxgk/ywsjtj/221946.html</t>
        </is>
      </c>
    </row>
    <row r="465">
      <c r="A465" t="n">
        <v>2024</v>
      </c>
      <c r="B465" t="n">
        <v>5</v>
      </c>
      <c r="C465" t="inlineStr">
        <is>
          <t>崇明</t>
        </is>
      </c>
      <c r="D465" t="n">
        <v>0.4</v>
      </c>
      <c r="E465" t="n">
        <v>7.24</v>
      </c>
      <c r="F465" t="n">
        <v>70422.85000000001</v>
      </c>
      <c r="G465" t="n">
        <v>49709.37</v>
      </c>
      <c r="H465" t="inlineStr">
        <is>
          <t>2024-05-31</t>
        </is>
      </c>
      <c r="I465" t="inlineStr">
        <is>
          <t>verified_original_html</t>
        </is>
      </c>
      <c r="J465" t="inlineStr">
        <is>
          <t>https://www.shzfgjj.cn/html/newxxgk/ywsjtj/221946.html</t>
        </is>
      </c>
    </row>
    <row r="466">
      <c r="A466" t="n">
        <v>2024</v>
      </c>
      <c r="B466" t="n">
        <v>6</v>
      </c>
      <c r="C466" t="inlineStr">
        <is>
          <t>黄浦</t>
        </is>
      </c>
      <c r="D466" t="n">
        <v>3.57</v>
      </c>
      <c r="E466" t="n">
        <v>119.83</v>
      </c>
      <c r="F466" t="n">
        <v>2646678.94</v>
      </c>
      <c r="G466" t="n">
        <v>2635658</v>
      </c>
      <c r="H466" t="inlineStr">
        <is>
          <t>2024-06-30</t>
        </is>
      </c>
      <c r="I466" t="inlineStr">
        <is>
          <t>verified_original_html</t>
        </is>
      </c>
      <c r="J466" t="inlineStr">
        <is>
          <t>https://www.shzfgjj.cn/html/newxxgk/ywsjtj/222741.html</t>
        </is>
      </c>
    </row>
    <row r="467">
      <c r="A467" t="n">
        <v>2024</v>
      </c>
      <c r="B467" t="n">
        <v>6</v>
      </c>
      <c r="C467" t="inlineStr">
        <is>
          <t>徐汇</t>
        </is>
      </c>
      <c r="D467" t="n">
        <v>5.48</v>
      </c>
      <c r="E467" t="n">
        <v>90.75</v>
      </c>
      <c r="F467" t="n">
        <v>1514164.04</v>
      </c>
      <c r="G467" t="n">
        <v>914642.5600000001</v>
      </c>
      <c r="H467" t="inlineStr">
        <is>
          <t>2024-06-30</t>
        </is>
      </c>
      <c r="I467" t="inlineStr">
        <is>
          <t>verified_original_html</t>
        </is>
      </c>
      <c r="J467" t="inlineStr">
        <is>
          <t>https://www.shzfgjj.cn/html/newxxgk/ywsjtj/222741.html</t>
        </is>
      </c>
    </row>
    <row r="468">
      <c r="A468" t="n">
        <v>2024</v>
      </c>
      <c r="B468" t="n">
        <v>6</v>
      </c>
      <c r="C468" t="inlineStr">
        <is>
          <t>长宁</t>
        </is>
      </c>
      <c r="D468" t="n">
        <v>2.52</v>
      </c>
      <c r="E468" t="n">
        <v>52.25</v>
      </c>
      <c r="F468" t="n">
        <v>803076.58</v>
      </c>
      <c r="G468" t="n">
        <v>494082.09</v>
      </c>
      <c r="H468" t="inlineStr">
        <is>
          <t>2024-06-30</t>
        </is>
      </c>
      <c r="I468" t="inlineStr">
        <is>
          <t>verified_original_html</t>
        </is>
      </c>
      <c r="J468" t="inlineStr">
        <is>
          <t>https://www.shzfgjj.cn/html/newxxgk/ywsjtj/222741.html</t>
        </is>
      </c>
    </row>
    <row r="469">
      <c r="A469" t="n">
        <v>2024</v>
      </c>
      <c r="B469" t="n">
        <v>6</v>
      </c>
      <c r="C469" t="inlineStr">
        <is>
          <t>静安</t>
        </is>
      </c>
      <c r="D469" t="n">
        <v>3.93</v>
      </c>
      <c r="E469" t="n">
        <v>62.94</v>
      </c>
      <c r="F469" t="n">
        <v>861403.0600000001</v>
      </c>
      <c r="G469" t="n">
        <v>528454.83</v>
      </c>
      <c r="H469" t="inlineStr">
        <is>
          <t>2024-06-30</t>
        </is>
      </c>
      <c r="I469" t="inlineStr">
        <is>
          <t>verified_original_html</t>
        </is>
      </c>
      <c r="J469" t="inlineStr">
        <is>
          <t>https://www.shzfgjj.cn/html/newxxgk/ywsjtj/222741.html</t>
        </is>
      </c>
    </row>
    <row r="470">
      <c r="A470" t="n">
        <v>2024</v>
      </c>
      <c r="B470" t="n">
        <v>6</v>
      </c>
      <c r="C470" t="inlineStr">
        <is>
          <t>普陀</t>
        </is>
      </c>
      <c r="D470" t="n">
        <v>3.68</v>
      </c>
      <c r="E470" t="n">
        <v>34.58</v>
      </c>
      <c r="F470" t="n">
        <v>373269.76</v>
      </c>
      <c r="G470" t="n">
        <v>225124.64</v>
      </c>
      <c r="H470" t="inlineStr">
        <is>
          <t>2024-06-30</t>
        </is>
      </c>
      <c r="I470" t="inlineStr">
        <is>
          <t>verified_original_html</t>
        </is>
      </c>
      <c r="J470" t="inlineStr">
        <is>
          <t>https://www.shzfgjj.cn/html/newxxgk/ywsjtj/222741.html</t>
        </is>
      </c>
    </row>
    <row r="471">
      <c r="A471" t="n">
        <v>2024</v>
      </c>
      <c r="B471" t="n">
        <v>6</v>
      </c>
      <c r="C471" t="inlineStr">
        <is>
          <t>虹口</t>
        </is>
      </c>
      <c r="D471" t="n">
        <v>2.37</v>
      </c>
      <c r="E471" t="n">
        <v>28.94</v>
      </c>
      <c r="F471" t="n">
        <v>375028.79</v>
      </c>
      <c r="G471" t="n">
        <v>241300.61</v>
      </c>
      <c r="H471" t="inlineStr">
        <is>
          <t>2024-06-30</t>
        </is>
      </c>
      <c r="I471" t="inlineStr">
        <is>
          <t>verified_original_html</t>
        </is>
      </c>
      <c r="J471" t="inlineStr">
        <is>
          <t>https://www.shzfgjj.cn/html/newxxgk/ywsjtj/222741.html</t>
        </is>
      </c>
    </row>
    <row r="472">
      <c r="A472" t="n">
        <v>2024</v>
      </c>
      <c r="B472" t="n">
        <v>6</v>
      </c>
      <c r="C472" t="inlineStr">
        <is>
          <t>杨浦</t>
        </is>
      </c>
      <c r="D472" t="n">
        <v>2.53</v>
      </c>
      <c r="E472" t="n">
        <v>32.8</v>
      </c>
      <c r="F472" t="n">
        <v>486257.38</v>
      </c>
      <c r="G472" t="n">
        <v>299891.67</v>
      </c>
      <c r="H472" t="inlineStr">
        <is>
          <t>2024-06-30</t>
        </is>
      </c>
      <c r="I472" t="inlineStr">
        <is>
          <t>verified_original_html</t>
        </is>
      </c>
      <c r="J472" t="inlineStr">
        <is>
          <t>https://www.shzfgjj.cn/html/newxxgk/ywsjtj/222741.html</t>
        </is>
      </c>
    </row>
    <row r="473">
      <c r="A473" t="n">
        <v>2024</v>
      </c>
      <c r="B473" t="n">
        <v>6</v>
      </c>
      <c r="C473" t="inlineStr">
        <is>
          <t>闵行</t>
        </is>
      </c>
      <c r="D473" t="n">
        <v>7.11</v>
      </c>
      <c r="E473" t="n">
        <v>62.06</v>
      </c>
      <c r="F473" t="n">
        <v>643822.53</v>
      </c>
      <c r="G473" t="n">
        <v>389551.42</v>
      </c>
      <c r="H473" t="inlineStr">
        <is>
          <t>2024-06-30</t>
        </is>
      </c>
      <c r="I473" t="inlineStr">
        <is>
          <t>verified_original_html</t>
        </is>
      </c>
      <c r="J473" t="inlineStr">
        <is>
          <t>https://www.shzfgjj.cn/html/newxxgk/ywsjtj/222741.html</t>
        </is>
      </c>
    </row>
    <row r="474">
      <c r="A474" t="n">
        <v>2024</v>
      </c>
      <c r="B474" t="n">
        <v>6</v>
      </c>
      <c r="C474" t="inlineStr">
        <is>
          <t>宝山</t>
        </is>
      </c>
      <c r="D474" t="n">
        <v>3.99</v>
      </c>
      <c r="E474" t="n">
        <v>38.84</v>
      </c>
      <c r="F474" t="n">
        <v>444617.18</v>
      </c>
      <c r="G474" t="n">
        <v>290778.65</v>
      </c>
      <c r="H474" t="inlineStr">
        <is>
          <t>2024-06-30</t>
        </is>
      </c>
      <c r="I474" t="inlineStr">
        <is>
          <t>verified_original_html</t>
        </is>
      </c>
      <c r="J474" t="inlineStr">
        <is>
          <t>https://www.shzfgjj.cn/html/newxxgk/ywsjtj/222741.html</t>
        </is>
      </c>
    </row>
    <row r="475">
      <c r="A475" t="n">
        <v>2024</v>
      </c>
      <c r="B475" t="n">
        <v>6</v>
      </c>
      <c r="C475" t="inlineStr">
        <is>
          <t>嘉定</t>
        </is>
      </c>
      <c r="D475" t="n">
        <v>3.41</v>
      </c>
      <c r="E475" t="n">
        <v>41.33</v>
      </c>
      <c r="F475" t="n">
        <v>491224.4</v>
      </c>
      <c r="G475" t="n">
        <v>296298.47</v>
      </c>
      <c r="H475" t="inlineStr">
        <is>
          <t>2024-06-30</t>
        </is>
      </c>
      <c r="I475" t="inlineStr">
        <is>
          <t>verified_original_html</t>
        </is>
      </c>
      <c r="J475" t="inlineStr">
        <is>
          <t>https://www.shzfgjj.cn/html/newxxgk/ywsjtj/222741.html</t>
        </is>
      </c>
    </row>
    <row r="476">
      <c r="A476" t="n">
        <v>2024</v>
      </c>
      <c r="B476" t="n">
        <v>6</v>
      </c>
      <c r="C476" t="inlineStr">
        <is>
          <t>浦东</t>
        </is>
      </c>
      <c r="D476" t="n">
        <v>10.43</v>
      </c>
      <c r="E476" t="n">
        <v>163.48</v>
      </c>
      <c r="F476" t="n">
        <v>2392077.23</v>
      </c>
      <c r="G476" t="n">
        <v>1433208.68</v>
      </c>
      <c r="H476" t="inlineStr">
        <is>
          <t>2024-06-30</t>
        </is>
      </c>
      <c r="I476" t="inlineStr">
        <is>
          <t>verified_original_html</t>
        </is>
      </c>
      <c r="J476" t="inlineStr">
        <is>
          <t>https://www.shzfgjj.cn/html/newxxgk/ywsjtj/222741.html</t>
        </is>
      </c>
    </row>
    <row r="477">
      <c r="A477" t="n">
        <v>2024</v>
      </c>
      <c r="B477" t="n">
        <v>6</v>
      </c>
      <c r="C477" t="inlineStr">
        <is>
          <t>奉贤</t>
        </is>
      </c>
      <c r="D477" t="n">
        <v>2.38</v>
      </c>
      <c r="E477" t="n">
        <v>22.36</v>
      </c>
      <c r="F477" t="n">
        <v>206751.53</v>
      </c>
      <c r="G477" t="n">
        <v>127869.4</v>
      </c>
      <c r="H477" t="inlineStr">
        <is>
          <t>2024-06-30</t>
        </is>
      </c>
      <c r="I477" t="inlineStr">
        <is>
          <t>verified_original_html</t>
        </is>
      </c>
      <c r="J477" t="inlineStr">
        <is>
          <t>https://www.shzfgjj.cn/html/newxxgk/ywsjtj/222741.html</t>
        </is>
      </c>
    </row>
    <row r="478">
      <c r="A478" t="n">
        <v>2024</v>
      </c>
      <c r="B478" t="n">
        <v>6</v>
      </c>
      <c r="C478" t="inlineStr">
        <is>
          <t>松江</t>
        </is>
      </c>
      <c r="D478" t="n">
        <v>3.72</v>
      </c>
      <c r="E478" t="n">
        <v>40.32</v>
      </c>
      <c r="F478" t="n">
        <v>354625.97</v>
      </c>
      <c r="G478" t="n">
        <v>211960.19</v>
      </c>
      <c r="H478" t="inlineStr">
        <is>
          <t>2024-06-30</t>
        </is>
      </c>
      <c r="I478" t="inlineStr">
        <is>
          <t>verified_original_html</t>
        </is>
      </c>
      <c r="J478" t="inlineStr">
        <is>
          <t>https://www.shzfgjj.cn/html/newxxgk/ywsjtj/222741.html</t>
        </is>
      </c>
    </row>
    <row r="479">
      <c r="A479" t="n">
        <v>2024</v>
      </c>
      <c r="B479" t="n">
        <v>6</v>
      </c>
      <c r="C479" t="inlineStr">
        <is>
          <t>金山</t>
        </is>
      </c>
      <c r="D479" t="n">
        <v>1.55</v>
      </c>
      <c r="E479" t="n">
        <v>19.51</v>
      </c>
      <c r="F479" t="n">
        <v>193979.2</v>
      </c>
      <c r="G479" t="n">
        <v>134578.3</v>
      </c>
      <c r="H479" t="inlineStr">
        <is>
          <t>2024-06-30</t>
        </is>
      </c>
      <c r="I479" t="inlineStr">
        <is>
          <t>verified_original_html</t>
        </is>
      </c>
      <c r="J479" t="inlineStr">
        <is>
          <t>https://www.shzfgjj.cn/html/newxxgk/ywsjtj/222741.html</t>
        </is>
      </c>
    </row>
    <row r="480">
      <c r="A480" t="n">
        <v>2024</v>
      </c>
      <c r="B480" t="n">
        <v>6</v>
      </c>
      <c r="C480" t="inlineStr">
        <is>
          <t>青浦</t>
        </is>
      </c>
      <c r="D480" t="n">
        <v>1.98</v>
      </c>
      <c r="E480" t="n">
        <v>25.74</v>
      </c>
      <c r="F480" t="n">
        <v>245288.01</v>
      </c>
      <c r="G480" t="n">
        <v>144177.69</v>
      </c>
      <c r="H480" t="inlineStr">
        <is>
          <t>2024-06-30</t>
        </is>
      </c>
      <c r="I480" t="inlineStr">
        <is>
          <t>verified_original_html</t>
        </is>
      </c>
      <c r="J480" t="inlineStr">
        <is>
          <t>https://www.shzfgjj.cn/html/newxxgk/ywsjtj/222741.html</t>
        </is>
      </c>
    </row>
    <row r="481">
      <c r="A481" t="n">
        <v>2024</v>
      </c>
      <c r="B481" t="n">
        <v>6</v>
      </c>
      <c r="C481" t="inlineStr">
        <is>
          <t>崇明</t>
        </is>
      </c>
      <c r="D481" t="n">
        <v>0.41</v>
      </c>
      <c r="E481" t="n">
        <v>7.23</v>
      </c>
      <c r="F481" t="n">
        <v>84329.84</v>
      </c>
      <c r="G481" t="n">
        <v>57170.84</v>
      </c>
      <c r="H481" t="inlineStr">
        <is>
          <t>2024-06-30</t>
        </is>
      </c>
      <c r="I481" t="inlineStr">
        <is>
          <t>verified_original_html</t>
        </is>
      </c>
      <c r="J481" t="inlineStr">
        <is>
          <t>https://www.shzfgjj.cn/html/newxxgk/ywsjtj/222741.html</t>
        </is>
      </c>
    </row>
    <row r="482">
      <c r="A482" t="n">
        <v>2024</v>
      </c>
      <c r="B482" t="n">
        <v>7</v>
      </c>
      <c r="C482" t="inlineStr">
        <is>
          <t>黄浦</t>
        </is>
      </c>
      <c r="D482" t="n">
        <v>3.57</v>
      </c>
      <c r="E482" t="n">
        <v>120.12</v>
      </c>
      <c r="F482" t="n">
        <v>3035543.18</v>
      </c>
      <c r="G482" t="n">
        <v>3050607.3</v>
      </c>
      <c r="H482" t="inlineStr">
        <is>
          <t>2024-07-31</t>
        </is>
      </c>
      <c r="I482" t="inlineStr">
        <is>
          <t>verified_original_html</t>
        </is>
      </c>
      <c r="J482" t="inlineStr">
        <is>
          <t>https://www.shzfgjj.cn/html/newxxgk/ywsjtj/223387.html</t>
        </is>
      </c>
    </row>
    <row r="483">
      <c r="A483" t="n">
        <v>2024</v>
      </c>
      <c r="B483" t="n">
        <v>7</v>
      </c>
      <c r="C483" t="inlineStr">
        <is>
          <t>徐汇</t>
        </is>
      </c>
      <c r="D483" t="n">
        <v>5.51</v>
      </c>
      <c r="E483" t="n">
        <v>90.88</v>
      </c>
      <c r="F483" t="n">
        <v>1758282.36</v>
      </c>
      <c r="G483" t="n">
        <v>1044101.87</v>
      </c>
      <c r="H483" t="inlineStr">
        <is>
          <t>2024-07-31</t>
        </is>
      </c>
      <c r="I483" t="inlineStr">
        <is>
          <t>verified_original_html</t>
        </is>
      </c>
      <c r="J483" t="inlineStr">
        <is>
          <t>https://www.shzfgjj.cn/html/newxxgk/ywsjtj/223387.html</t>
        </is>
      </c>
    </row>
    <row r="484">
      <c r="A484" t="n">
        <v>2024</v>
      </c>
      <c r="B484" t="n">
        <v>7</v>
      </c>
      <c r="C484" t="inlineStr">
        <is>
          <t>长宁</t>
        </is>
      </c>
      <c r="D484" t="n">
        <v>2.52</v>
      </c>
      <c r="E484" t="n">
        <v>52.29</v>
      </c>
      <c r="F484" t="n">
        <v>923676.39</v>
      </c>
      <c r="G484" t="n">
        <v>564238.08</v>
      </c>
      <c r="H484" t="inlineStr">
        <is>
          <t>2024-07-31</t>
        </is>
      </c>
      <c r="I484" t="inlineStr">
        <is>
          <t>verified_original_html</t>
        </is>
      </c>
      <c r="J484" t="inlineStr">
        <is>
          <t>https://www.shzfgjj.cn/html/newxxgk/ywsjtj/223387.html</t>
        </is>
      </c>
    </row>
    <row r="485">
      <c r="A485" t="n">
        <v>2024</v>
      </c>
      <c r="B485" t="n">
        <v>7</v>
      </c>
      <c r="C485" t="inlineStr">
        <is>
          <t>静安</t>
        </is>
      </c>
      <c r="D485" t="n">
        <v>3.94</v>
      </c>
      <c r="E485" t="n">
        <v>62.92</v>
      </c>
      <c r="F485" t="n">
        <v>990051.71</v>
      </c>
      <c r="G485" t="n">
        <v>605446.54</v>
      </c>
      <c r="H485" t="inlineStr">
        <is>
          <t>2024-07-31</t>
        </is>
      </c>
      <c r="I485" t="inlineStr">
        <is>
          <t>verified_original_html</t>
        </is>
      </c>
      <c r="J485" t="inlineStr">
        <is>
          <t>https://www.shzfgjj.cn/html/newxxgk/ywsjtj/223387.html</t>
        </is>
      </c>
    </row>
    <row r="486">
      <c r="A486" t="n">
        <v>2024</v>
      </c>
      <c r="B486" t="n">
        <v>7</v>
      </c>
      <c r="C486" t="inlineStr">
        <is>
          <t>普陀</t>
        </is>
      </c>
      <c r="D486" t="n">
        <v>3.69</v>
      </c>
      <c r="E486" t="n">
        <v>34.62</v>
      </c>
      <c r="F486" t="n">
        <v>432464.91</v>
      </c>
      <c r="G486" t="n">
        <v>257305.17</v>
      </c>
      <c r="H486" t="inlineStr">
        <is>
          <t>2024-07-31</t>
        </is>
      </c>
      <c r="I486" t="inlineStr">
        <is>
          <t>verified_original_html</t>
        </is>
      </c>
      <c r="J486" t="inlineStr">
        <is>
          <t>https://www.shzfgjj.cn/html/newxxgk/ywsjtj/223387.html</t>
        </is>
      </c>
    </row>
    <row r="487">
      <c r="A487" t="n">
        <v>2024</v>
      </c>
      <c r="B487" t="n">
        <v>7</v>
      </c>
      <c r="C487" t="inlineStr">
        <is>
          <t>虹口</t>
        </is>
      </c>
      <c r="D487" t="n">
        <v>2.38</v>
      </c>
      <c r="E487" t="n">
        <v>29.02</v>
      </c>
      <c r="F487" t="n">
        <v>435271.36</v>
      </c>
      <c r="G487" t="n">
        <v>274180.93</v>
      </c>
      <c r="H487" t="inlineStr">
        <is>
          <t>2024-07-31</t>
        </is>
      </c>
      <c r="I487" t="inlineStr">
        <is>
          <t>verified_original_html</t>
        </is>
      </c>
      <c r="J487" t="inlineStr">
        <is>
          <t>https://www.shzfgjj.cn/html/newxxgk/ywsjtj/223387.html</t>
        </is>
      </c>
    </row>
    <row r="488">
      <c r="A488" t="n">
        <v>2024</v>
      </c>
      <c r="B488" t="n">
        <v>7</v>
      </c>
      <c r="C488" t="inlineStr">
        <is>
          <t>杨浦</t>
        </is>
      </c>
      <c r="D488" t="n">
        <v>2.54</v>
      </c>
      <c r="E488" t="n">
        <v>32.82</v>
      </c>
      <c r="F488" t="n">
        <v>558462.59</v>
      </c>
      <c r="G488" t="n">
        <v>341228.14</v>
      </c>
      <c r="H488" t="inlineStr">
        <is>
          <t>2024-07-31</t>
        </is>
      </c>
      <c r="I488" t="inlineStr">
        <is>
          <t>verified_original_html</t>
        </is>
      </c>
      <c r="J488" t="inlineStr">
        <is>
          <t>https://www.shzfgjj.cn/html/newxxgk/ywsjtj/223387.html</t>
        </is>
      </c>
    </row>
    <row r="489">
      <c r="A489" t="n">
        <v>2024</v>
      </c>
      <c r="B489" t="n">
        <v>7</v>
      </c>
      <c r="C489" t="inlineStr">
        <is>
          <t>闵行</t>
        </is>
      </c>
      <c r="D489" t="n">
        <v>7.2</v>
      </c>
      <c r="E489" t="n">
        <v>62.44</v>
      </c>
      <c r="F489" t="n">
        <v>746517.72</v>
      </c>
      <c r="G489" t="n">
        <v>444995.48</v>
      </c>
      <c r="H489" t="inlineStr">
        <is>
          <t>2024-07-31</t>
        </is>
      </c>
      <c r="I489" t="inlineStr">
        <is>
          <t>verified_original_html</t>
        </is>
      </c>
      <c r="J489" t="inlineStr">
        <is>
          <t>https://www.shzfgjj.cn/html/newxxgk/ywsjtj/223387.html</t>
        </is>
      </c>
    </row>
    <row r="490">
      <c r="A490" t="n">
        <v>2024</v>
      </c>
      <c r="B490" t="n">
        <v>7</v>
      </c>
      <c r="C490" t="inlineStr">
        <is>
          <t>宝山</t>
        </is>
      </c>
      <c r="D490" t="n">
        <v>4.01</v>
      </c>
      <c r="E490" t="n">
        <v>38.83</v>
      </c>
      <c r="F490" t="n">
        <v>515841.5</v>
      </c>
      <c r="G490" t="n">
        <v>329447.67</v>
      </c>
      <c r="H490" t="inlineStr">
        <is>
          <t>2024-07-31</t>
        </is>
      </c>
      <c r="I490" t="inlineStr">
        <is>
          <t>verified_original_html</t>
        </is>
      </c>
      <c r="J490" t="inlineStr">
        <is>
          <t>https://www.shzfgjj.cn/html/newxxgk/ywsjtj/223387.html</t>
        </is>
      </c>
    </row>
    <row r="491">
      <c r="A491" t="n">
        <v>2024</v>
      </c>
      <c r="B491" t="n">
        <v>7</v>
      </c>
      <c r="C491" t="inlineStr">
        <is>
          <t>嘉定</t>
        </is>
      </c>
      <c r="D491" t="n">
        <v>3.43</v>
      </c>
      <c r="E491" t="n">
        <v>41.44</v>
      </c>
      <c r="F491" t="n">
        <v>568678.55</v>
      </c>
      <c r="G491" t="n">
        <v>336261.36</v>
      </c>
      <c r="H491" t="inlineStr">
        <is>
          <t>2024-07-31</t>
        </is>
      </c>
      <c r="I491" t="inlineStr">
        <is>
          <t>verified_original_html</t>
        </is>
      </c>
      <c r="J491" t="inlineStr">
        <is>
          <t>https://www.shzfgjj.cn/html/newxxgk/ywsjtj/223387.html</t>
        </is>
      </c>
    </row>
    <row r="492">
      <c r="A492" t="n">
        <v>2024</v>
      </c>
      <c r="B492" t="n">
        <v>7</v>
      </c>
      <c r="C492" t="inlineStr">
        <is>
          <t>浦东</t>
        </is>
      </c>
      <c r="D492" t="n">
        <v>10.47</v>
      </c>
      <c r="E492" t="n">
        <v>164.35</v>
      </c>
      <c r="F492" t="n">
        <v>2768634.94</v>
      </c>
      <c r="G492" t="n">
        <v>1637838.44</v>
      </c>
      <c r="H492" t="inlineStr">
        <is>
          <t>2024-07-31</t>
        </is>
      </c>
      <c r="I492" t="inlineStr">
        <is>
          <t>verified_original_html</t>
        </is>
      </c>
      <c r="J492" t="inlineStr">
        <is>
          <t>https://www.shzfgjj.cn/html/newxxgk/ywsjtj/223387.html</t>
        </is>
      </c>
    </row>
    <row r="493">
      <c r="A493" t="n">
        <v>2024</v>
      </c>
      <c r="B493" t="n">
        <v>7</v>
      </c>
      <c r="C493" t="inlineStr">
        <is>
          <t>奉贤</t>
        </is>
      </c>
      <c r="D493" t="n">
        <v>2.4</v>
      </c>
      <c r="E493" t="n">
        <v>22.43</v>
      </c>
      <c r="F493" t="n">
        <v>240000.94</v>
      </c>
      <c r="G493" t="n">
        <v>144571.66</v>
      </c>
      <c r="H493" t="inlineStr">
        <is>
          <t>2024-07-31</t>
        </is>
      </c>
      <c r="I493" t="inlineStr">
        <is>
          <t>verified_original_html</t>
        </is>
      </c>
      <c r="J493" t="inlineStr">
        <is>
          <t>https://www.shzfgjj.cn/html/newxxgk/ywsjtj/223387.html</t>
        </is>
      </c>
    </row>
    <row r="494">
      <c r="A494" t="n">
        <v>2024</v>
      </c>
      <c r="B494" t="n">
        <v>7</v>
      </c>
      <c r="C494" t="inlineStr">
        <is>
          <t>松江</t>
        </is>
      </c>
      <c r="D494" t="n">
        <v>3.75</v>
      </c>
      <c r="E494" t="n">
        <v>40.48</v>
      </c>
      <c r="F494" t="n">
        <v>410399.02</v>
      </c>
      <c r="G494" t="n">
        <v>241736.52</v>
      </c>
      <c r="H494" t="inlineStr">
        <is>
          <t>2024-07-31</t>
        </is>
      </c>
      <c r="I494" t="inlineStr">
        <is>
          <t>verified_original_html</t>
        </is>
      </c>
      <c r="J494" t="inlineStr">
        <is>
          <t>https://www.shzfgjj.cn/html/newxxgk/ywsjtj/223387.html</t>
        </is>
      </c>
    </row>
    <row r="495">
      <c r="A495" t="n">
        <v>2024</v>
      </c>
      <c r="B495" t="n">
        <v>7</v>
      </c>
      <c r="C495" t="inlineStr">
        <is>
          <t>金山</t>
        </is>
      </c>
      <c r="D495" t="n">
        <v>1.56</v>
      </c>
      <c r="E495" t="n">
        <v>19.52</v>
      </c>
      <c r="F495" t="n">
        <v>225340.69</v>
      </c>
      <c r="G495" t="n">
        <v>152275.01</v>
      </c>
      <c r="H495" t="inlineStr">
        <is>
          <t>2024-07-31</t>
        </is>
      </c>
      <c r="I495" t="inlineStr">
        <is>
          <t>verified_original_html</t>
        </is>
      </c>
      <c r="J495" t="inlineStr">
        <is>
          <t>https://www.shzfgjj.cn/html/newxxgk/ywsjtj/223387.html</t>
        </is>
      </c>
    </row>
    <row r="496">
      <c r="A496" t="n">
        <v>2024</v>
      </c>
      <c r="B496" t="n">
        <v>7</v>
      </c>
      <c r="C496" t="inlineStr">
        <is>
          <t>青浦</t>
        </is>
      </c>
      <c r="D496" t="n">
        <v>1.99</v>
      </c>
      <c r="E496" t="n">
        <v>25.88</v>
      </c>
      <c r="F496" t="n">
        <v>284254.72</v>
      </c>
      <c r="G496" t="n">
        <v>163142.94</v>
      </c>
      <c r="H496" t="inlineStr">
        <is>
          <t>2024-07-31</t>
        </is>
      </c>
      <c r="I496" t="inlineStr">
        <is>
          <t>verified_original_html</t>
        </is>
      </c>
      <c r="J496" t="inlineStr">
        <is>
          <t>https://www.shzfgjj.cn/html/newxxgk/ywsjtj/223387.html</t>
        </is>
      </c>
    </row>
    <row r="497">
      <c r="A497" t="n">
        <v>2024</v>
      </c>
      <c r="B497" t="n">
        <v>7</v>
      </c>
      <c r="C497" t="inlineStr">
        <is>
          <t>崇明</t>
        </is>
      </c>
      <c r="D497" t="n">
        <v>0.41</v>
      </c>
      <c r="E497" t="n">
        <v>7.21</v>
      </c>
      <c r="F497" t="n">
        <v>96873</v>
      </c>
      <c r="G497" t="n">
        <v>65063.59</v>
      </c>
      <c r="H497" t="inlineStr">
        <is>
          <t>2024-07-31</t>
        </is>
      </c>
      <c r="I497" t="inlineStr">
        <is>
          <t>verified_original_html</t>
        </is>
      </c>
      <c r="J497" t="inlineStr">
        <is>
          <t>https://www.shzfgjj.cn/html/newxxgk/ywsjtj/223387.html</t>
        </is>
      </c>
    </row>
    <row r="498">
      <c r="A498" t="n">
        <v>2024</v>
      </c>
      <c r="B498" t="n">
        <v>8</v>
      </c>
      <c r="C498" t="inlineStr">
        <is>
          <t>黄浦</t>
        </is>
      </c>
      <c r="D498" t="n">
        <v>3.58</v>
      </c>
      <c r="E498" t="n">
        <v>120.35</v>
      </c>
      <c r="F498" t="n">
        <v>3567294.52</v>
      </c>
      <c r="G498" t="n">
        <v>3435436.94</v>
      </c>
      <c r="H498" t="inlineStr">
        <is>
          <t>2024-08-31</t>
        </is>
      </c>
      <c r="I498" t="inlineStr">
        <is>
          <t>verified_original_html</t>
        </is>
      </c>
      <c r="J498" t="inlineStr">
        <is>
          <t>https://www.shzfgjj.cn/html/newxxgk/ywsjtj/224137.html</t>
        </is>
      </c>
    </row>
    <row r="499">
      <c r="A499" t="n">
        <v>2024</v>
      </c>
      <c r="B499" t="n">
        <v>8</v>
      </c>
      <c r="C499" t="inlineStr">
        <is>
          <t>徐汇</t>
        </is>
      </c>
      <c r="D499" t="n">
        <v>5.54</v>
      </c>
      <c r="E499" t="n">
        <v>91.34</v>
      </c>
      <c r="F499" t="n">
        <v>2046053.12</v>
      </c>
      <c r="G499" t="n">
        <v>1173472.1</v>
      </c>
      <c r="H499" t="inlineStr">
        <is>
          <t>2024-08-31</t>
        </is>
      </c>
      <c r="I499" t="inlineStr">
        <is>
          <t>verified_original_html</t>
        </is>
      </c>
      <c r="J499" t="inlineStr">
        <is>
          <t>https://www.shzfgjj.cn/html/newxxgk/ywsjtj/224137.html</t>
        </is>
      </c>
    </row>
    <row r="500">
      <c r="A500" t="n">
        <v>2024</v>
      </c>
      <c r="B500" t="n">
        <v>8</v>
      </c>
      <c r="C500" t="inlineStr">
        <is>
          <t>长宁</t>
        </is>
      </c>
      <c r="D500" t="n">
        <v>2.53</v>
      </c>
      <c r="E500" t="n">
        <v>52.68</v>
      </c>
      <c r="F500" t="n">
        <v>1078985.73</v>
      </c>
      <c r="G500" t="n">
        <v>636728.86</v>
      </c>
      <c r="H500" t="inlineStr">
        <is>
          <t>2024-08-31</t>
        </is>
      </c>
      <c r="I500" t="inlineStr">
        <is>
          <t>verified_original_html</t>
        </is>
      </c>
      <c r="J500" t="inlineStr">
        <is>
          <t>https://www.shzfgjj.cn/html/newxxgk/ywsjtj/224137.html</t>
        </is>
      </c>
    </row>
    <row r="501">
      <c r="A501" t="n">
        <v>2024</v>
      </c>
      <c r="B501" t="n">
        <v>8</v>
      </c>
      <c r="C501" t="inlineStr">
        <is>
          <t>静安</t>
        </is>
      </c>
      <c r="D501" t="n">
        <v>3.96</v>
      </c>
      <c r="E501" t="n">
        <v>63.34</v>
      </c>
      <c r="F501" t="n">
        <v>1162764.08</v>
      </c>
      <c r="G501" t="n">
        <v>683199.5600000001</v>
      </c>
      <c r="H501" t="inlineStr">
        <is>
          <t>2024-08-31</t>
        </is>
      </c>
      <c r="I501" t="inlineStr">
        <is>
          <t>verified_original_html</t>
        </is>
      </c>
      <c r="J501" t="inlineStr">
        <is>
          <t>https://www.shzfgjj.cn/html/newxxgk/ywsjtj/224137.html</t>
        </is>
      </c>
    </row>
    <row r="502">
      <c r="A502" t="n">
        <v>2024</v>
      </c>
      <c r="B502" t="n">
        <v>8</v>
      </c>
      <c r="C502" t="inlineStr">
        <is>
          <t>普陀</t>
        </is>
      </c>
      <c r="D502" t="n">
        <v>3.71</v>
      </c>
      <c r="E502" t="n">
        <v>34.88</v>
      </c>
      <c r="F502" t="n">
        <v>501610.67</v>
      </c>
      <c r="G502" t="n">
        <v>291042.64</v>
      </c>
      <c r="H502" t="inlineStr">
        <is>
          <t>2024-08-31</t>
        </is>
      </c>
      <c r="I502" t="inlineStr">
        <is>
          <t>verified_original_html</t>
        </is>
      </c>
      <c r="J502" t="inlineStr">
        <is>
          <t>https://www.shzfgjj.cn/html/newxxgk/ywsjtj/224137.html</t>
        </is>
      </c>
    </row>
    <row r="503">
      <c r="A503" t="n">
        <v>2024</v>
      </c>
      <c r="B503" t="n">
        <v>8</v>
      </c>
      <c r="C503" t="inlineStr">
        <is>
          <t>虹口</t>
        </is>
      </c>
      <c r="D503" t="n">
        <v>2.39</v>
      </c>
      <c r="E503" t="n">
        <v>29.27</v>
      </c>
      <c r="F503" t="n">
        <v>504850.33</v>
      </c>
      <c r="G503" t="n">
        <v>310062.06</v>
      </c>
      <c r="H503" t="inlineStr">
        <is>
          <t>2024-08-31</t>
        </is>
      </c>
      <c r="I503" t="inlineStr">
        <is>
          <t>verified_original_html</t>
        </is>
      </c>
      <c r="J503" t="inlineStr">
        <is>
          <t>https://www.shzfgjj.cn/html/newxxgk/ywsjtj/224137.html</t>
        </is>
      </c>
    </row>
    <row r="504">
      <c r="A504" t="n">
        <v>2024</v>
      </c>
      <c r="B504" t="n">
        <v>8</v>
      </c>
      <c r="C504" t="inlineStr">
        <is>
          <t>杨浦</t>
        </is>
      </c>
      <c r="D504" t="n">
        <v>2.55</v>
      </c>
      <c r="E504" t="n">
        <v>32.88</v>
      </c>
      <c r="F504" t="n">
        <v>649175.79</v>
      </c>
      <c r="G504" t="n">
        <v>383065.65</v>
      </c>
      <c r="H504" t="inlineStr">
        <is>
          <t>2024-08-31</t>
        </is>
      </c>
      <c r="I504" t="inlineStr">
        <is>
          <t>verified_original_html</t>
        </is>
      </c>
      <c r="J504" t="inlineStr">
        <is>
          <t>https://www.shzfgjj.cn/html/newxxgk/ywsjtj/224137.html</t>
        </is>
      </c>
    </row>
    <row r="505">
      <c r="A505" t="n">
        <v>2024</v>
      </c>
      <c r="B505" t="n">
        <v>8</v>
      </c>
      <c r="C505" t="inlineStr">
        <is>
          <t>闵行</t>
        </is>
      </c>
      <c r="D505" t="n">
        <v>7.3</v>
      </c>
      <c r="E505" t="n">
        <v>62.81</v>
      </c>
      <c r="F505" t="n">
        <v>870210.5699999999</v>
      </c>
      <c r="G505" t="n">
        <v>501246.66</v>
      </c>
      <c r="H505" t="inlineStr">
        <is>
          <t>2024-08-31</t>
        </is>
      </c>
      <c r="I505" t="inlineStr">
        <is>
          <t>verified_original_html</t>
        </is>
      </c>
      <c r="J505" t="inlineStr">
        <is>
          <t>https://www.shzfgjj.cn/html/newxxgk/ywsjtj/224137.html</t>
        </is>
      </c>
    </row>
    <row r="506">
      <c r="A506" t="n">
        <v>2024</v>
      </c>
      <c r="B506" t="n">
        <v>8</v>
      </c>
      <c r="C506" t="inlineStr">
        <is>
          <t>宝山</t>
        </is>
      </c>
      <c r="D506" t="n">
        <v>4.04</v>
      </c>
      <c r="E506" t="n">
        <v>39.01</v>
      </c>
      <c r="F506" t="n">
        <v>595844.9</v>
      </c>
      <c r="G506" t="n">
        <v>370725.98</v>
      </c>
      <c r="H506" t="inlineStr">
        <is>
          <t>2024-08-31</t>
        </is>
      </c>
      <c r="I506" t="inlineStr">
        <is>
          <t>verified_original_html</t>
        </is>
      </c>
      <c r="J506" t="inlineStr">
        <is>
          <t>https://www.shzfgjj.cn/html/newxxgk/ywsjtj/224137.html</t>
        </is>
      </c>
    </row>
    <row r="507">
      <c r="A507" t="n">
        <v>2024</v>
      </c>
      <c r="B507" t="n">
        <v>8</v>
      </c>
      <c r="C507" t="inlineStr">
        <is>
          <t>嘉定</t>
        </is>
      </c>
      <c r="D507" t="n">
        <v>3.46</v>
      </c>
      <c r="E507" t="n">
        <v>41.57</v>
      </c>
      <c r="F507" t="n">
        <v>662914.71</v>
      </c>
      <c r="G507" t="n">
        <v>378223.21</v>
      </c>
      <c r="H507" t="inlineStr">
        <is>
          <t>2024-08-31</t>
        </is>
      </c>
      <c r="I507" t="inlineStr">
        <is>
          <t>verified_original_html</t>
        </is>
      </c>
      <c r="J507" t="inlineStr">
        <is>
          <t>https://www.shzfgjj.cn/html/newxxgk/ywsjtj/224137.html</t>
        </is>
      </c>
    </row>
    <row r="508">
      <c r="A508" t="n">
        <v>2024</v>
      </c>
      <c r="B508" t="n">
        <v>8</v>
      </c>
      <c r="C508" t="inlineStr">
        <is>
          <t>浦东</t>
        </is>
      </c>
      <c r="D508" t="n">
        <v>10.52</v>
      </c>
      <c r="E508" t="n">
        <v>165.06</v>
      </c>
      <c r="F508" t="n">
        <v>3220897.88</v>
      </c>
      <c r="G508" t="n">
        <v>1843974.49</v>
      </c>
      <c r="H508" t="inlineStr">
        <is>
          <t>2024-08-31</t>
        </is>
      </c>
      <c r="I508" t="inlineStr">
        <is>
          <t>verified_original_html</t>
        </is>
      </c>
      <c r="J508" t="inlineStr">
        <is>
          <t>https://www.shzfgjj.cn/html/newxxgk/ywsjtj/224137.html</t>
        </is>
      </c>
    </row>
    <row r="509">
      <c r="A509" t="n">
        <v>2024</v>
      </c>
      <c r="B509" t="n">
        <v>8</v>
      </c>
      <c r="C509" t="inlineStr">
        <is>
          <t>奉贤</t>
        </is>
      </c>
      <c r="D509" t="n">
        <v>2.42</v>
      </c>
      <c r="E509" t="n">
        <v>22.62</v>
      </c>
      <c r="F509" t="n">
        <v>278572.14</v>
      </c>
      <c r="G509" t="n">
        <v>161156.11</v>
      </c>
      <c r="H509" t="inlineStr">
        <is>
          <t>2024-08-31</t>
        </is>
      </c>
      <c r="I509" t="inlineStr">
        <is>
          <t>verified_original_html</t>
        </is>
      </c>
      <c r="J509" t="inlineStr">
        <is>
          <t>https://www.shzfgjj.cn/html/newxxgk/ywsjtj/224137.html</t>
        </is>
      </c>
    </row>
    <row r="510">
      <c r="A510" t="n">
        <v>2024</v>
      </c>
      <c r="B510" t="n">
        <v>8</v>
      </c>
      <c r="C510" t="inlineStr">
        <is>
          <t>松江</t>
        </is>
      </c>
      <c r="D510" t="n">
        <v>3.78</v>
      </c>
      <c r="E510" t="n">
        <v>40.74</v>
      </c>
      <c r="F510" t="n">
        <v>476500.36</v>
      </c>
      <c r="G510" t="n">
        <v>271803.06</v>
      </c>
      <c r="H510" t="inlineStr">
        <is>
          <t>2024-08-31</t>
        </is>
      </c>
      <c r="I510" t="inlineStr">
        <is>
          <t>verified_original_html</t>
        </is>
      </c>
      <c r="J510" t="inlineStr">
        <is>
          <t>https://www.shzfgjj.cn/html/newxxgk/ywsjtj/224137.html</t>
        </is>
      </c>
    </row>
    <row r="511">
      <c r="A511" t="n">
        <v>2024</v>
      </c>
      <c r="B511" t="n">
        <v>8</v>
      </c>
      <c r="C511" t="inlineStr">
        <is>
          <t>金山</t>
        </is>
      </c>
      <c r="D511" t="n">
        <v>1.57</v>
      </c>
      <c r="E511" t="n">
        <v>19.62</v>
      </c>
      <c r="F511" t="n">
        <v>260116.13</v>
      </c>
      <c r="G511" t="n">
        <v>169535.06</v>
      </c>
      <c r="H511" t="inlineStr">
        <is>
          <t>2024-08-31</t>
        </is>
      </c>
      <c r="I511" t="inlineStr">
        <is>
          <t>verified_original_html</t>
        </is>
      </c>
      <c r="J511" t="inlineStr">
        <is>
          <t>https://www.shzfgjj.cn/html/newxxgk/ywsjtj/224137.html</t>
        </is>
      </c>
    </row>
    <row r="512">
      <c r="A512" t="n">
        <v>2024</v>
      </c>
      <c r="B512" t="n">
        <v>8</v>
      </c>
      <c r="C512" t="inlineStr">
        <is>
          <t>青浦</t>
        </is>
      </c>
      <c r="D512" t="n">
        <v>2</v>
      </c>
      <c r="E512" t="n">
        <v>26.18</v>
      </c>
      <c r="F512" t="n">
        <v>329805.43</v>
      </c>
      <c r="G512" t="n">
        <v>183827.65</v>
      </c>
      <c r="H512" t="inlineStr">
        <is>
          <t>2024-08-31</t>
        </is>
      </c>
      <c r="I512" t="inlineStr">
        <is>
          <t>verified_original_html</t>
        </is>
      </c>
      <c r="J512" t="inlineStr">
        <is>
          <t>https://www.shzfgjj.cn/html/newxxgk/ywsjtj/224137.html</t>
        </is>
      </c>
    </row>
    <row r="513">
      <c r="A513" t="n">
        <v>2024</v>
      </c>
      <c r="B513" t="n">
        <v>8</v>
      </c>
      <c r="C513" t="inlineStr">
        <is>
          <t>崇明</t>
        </is>
      </c>
      <c r="D513" t="n">
        <v>0.41</v>
      </c>
      <c r="E513" t="n">
        <v>7.23</v>
      </c>
      <c r="F513" t="n">
        <v>112915.09</v>
      </c>
      <c r="G513" t="n">
        <v>73411.35000000001</v>
      </c>
      <c r="H513" t="inlineStr">
        <is>
          <t>2024-08-31</t>
        </is>
      </c>
      <c r="I513" t="inlineStr">
        <is>
          <t>verified_original_html</t>
        </is>
      </c>
      <c r="J513" t="inlineStr">
        <is>
          <t>https://www.shzfgjj.cn/html/newxxgk/ywsjtj/224137.html</t>
        </is>
      </c>
    </row>
    <row r="514">
      <c r="A514" t="n">
        <v>2024</v>
      </c>
      <c r="B514" t="n">
        <v>9</v>
      </c>
      <c r="C514" t="inlineStr">
        <is>
          <t>黄浦</t>
        </is>
      </c>
      <c r="D514" t="n">
        <v>3.58</v>
      </c>
      <c r="E514" t="n">
        <v>120.05</v>
      </c>
      <c r="F514" t="n">
        <v>4034159.62</v>
      </c>
      <c r="G514" t="n">
        <v>4064434.24</v>
      </c>
      <c r="H514" t="inlineStr">
        <is>
          <t>2024-09-30</t>
        </is>
      </c>
      <c r="I514" t="inlineStr">
        <is>
          <t>verified_original_html</t>
        </is>
      </c>
      <c r="J514" t="inlineStr">
        <is>
          <t>https://www.shzfgjj.cn/html/newxxgk/ywsjtj/224695.html</t>
        </is>
      </c>
    </row>
    <row r="515">
      <c r="A515" t="n">
        <v>2024</v>
      </c>
      <c r="B515" t="n">
        <v>9</v>
      </c>
      <c r="C515" t="inlineStr">
        <is>
          <t>徐汇</t>
        </is>
      </c>
      <c r="D515" t="n">
        <v>5.56</v>
      </c>
      <c r="E515" t="n">
        <v>91.31999999999999</v>
      </c>
      <c r="F515" t="n">
        <v>2313946.11</v>
      </c>
      <c r="G515" t="n">
        <v>1412999.96</v>
      </c>
      <c r="H515" t="inlineStr">
        <is>
          <t>2024-09-30</t>
        </is>
      </c>
      <c r="I515" t="inlineStr">
        <is>
          <t>verified_original_html</t>
        </is>
      </c>
      <c r="J515" t="inlineStr">
        <is>
          <t>https://www.shzfgjj.cn/html/newxxgk/ywsjtj/224695.html</t>
        </is>
      </c>
    </row>
    <row r="516">
      <c r="A516" t="n">
        <v>2024</v>
      </c>
      <c r="B516" t="n">
        <v>9</v>
      </c>
      <c r="C516" t="inlineStr">
        <is>
          <t>长宁</t>
        </is>
      </c>
      <c r="D516" t="n">
        <v>2.53</v>
      </c>
      <c r="E516" t="n">
        <v>52.69</v>
      </c>
      <c r="F516" t="n">
        <v>1221215.02</v>
      </c>
      <c r="G516" t="n">
        <v>762486.05</v>
      </c>
      <c r="H516" t="inlineStr">
        <is>
          <t>2024-09-30</t>
        </is>
      </c>
      <c r="I516" t="inlineStr">
        <is>
          <t>verified_original_html</t>
        </is>
      </c>
      <c r="J516" t="inlineStr">
        <is>
          <t>https://www.shzfgjj.cn/html/newxxgk/ywsjtj/224695.html</t>
        </is>
      </c>
    </row>
    <row r="517">
      <c r="A517" t="n">
        <v>2024</v>
      </c>
      <c r="B517" t="n">
        <v>9</v>
      </c>
      <c r="C517" t="inlineStr">
        <is>
          <t>静安</t>
        </is>
      </c>
      <c r="D517" t="n">
        <v>3.97</v>
      </c>
      <c r="E517" t="n">
        <v>63.38</v>
      </c>
      <c r="F517" t="n">
        <v>1315152.25</v>
      </c>
      <c r="G517" t="n">
        <v>826666.55</v>
      </c>
      <c r="H517" t="inlineStr">
        <is>
          <t>2024-09-30</t>
        </is>
      </c>
      <c r="I517" t="inlineStr">
        <is>
          <t>verified_original_html</t>
        </is>
      </c>
      <c r="J517" t="inlineStr">
        <is>
          <t>https://www.shzfgjj.cn/html/newxxgk/ywsjtj/224695.html</t>
        </is>
      </c>
    </row>
    <row r="518">
      <c r="A518" t="n">
        <v>2024</v>
      </c>
      <c r="B518" t="n">
        <v>9</v>
      </c>
      <c r="C518" t="inlineStr">
        <is>
          <t>普陀</t>
        </is>
      </c>
      <c r="D518" t="n">
        <v>3.71</v>
      </c>
      <c r="E518" t="n">
        <v>34.84</v>
      </c>
      <c r="F518" t="n">
        <v>569881.4</v>
      </c>
      <c r="G518" t="n">
        <v>348765.22</v>
      </c>
      <c r="H518" t="inlineStr">
        <is>
          <t>2024-09-30</t>
        </is>
      </c>
      <c r="I518" t="inlineStr">
        <is>
          <t>verified_original_html</t>
        </is>
      </c>
      <c r="J518" t="inlineStr">
        <is>
          <t>https://www.shzfgjj.cn/html/newxxgk/ywsjtj/224695.html</t>
        </is>
      </c>
    </row>
    <row r="519">
      <c r="A519" t="n">
        <v>2024</v>
      </c>
      <c r="B519" t="n">
        <v>9</v>
      </c>
      <c r="C519" t="inlineStr">
        <is>
          <t>虹口</t>
        </is>
      </c>
      <c r="D519" t="n">
        <v>2.4</v>
      </c>
      <c r="E519" t="n">
        <v>29.19</v>
      </c>
      <c r="F519" t="n">
        <v>571663.58</v>
      </c>
      <c r="G519" t="n">
        <v>372452.95</v>
      </c>
      <c r="H519" t="inlineStr">
        <is>
          <t>2024-09-30</t>
        </is>
      </c>
      <c r="I519" t="inlineStr">
        <is>
          <t>verified_original_html</t>
        </is>
      </c>
      <c r="J519" t="inlineStr">
        <is>
          <t>https://www.shzfgjj.cn/html/newxxgk/ywsjtj/224695.html</t>
        </is>
      </c>
    </row>
    <row r="520">
      <c r="A520" t="n">
        <v>2024</v>
      </c>
      <c r="B520" t="n">
        <v>9</v>
      </c>
      <c r="C520" t="inlineStr">
        <is>
          <t>杨浦</t>
        </is>
      </c>
      <c r="D520" t="n">
        <v>2.55</v>
      </c>
      <c r="E520" t="n">
        <v>32.86</v>
      </c>
      <c r="F520" t="n">
        <v>736753.67</v>
      </c>
      <c r="G520" t="n">
        <v>457619.66</v>
      </c>
      <c r="H520" t="inlineStr">
        <is>
          <t>2024-09-30</t>
        </is>
      </c>
      <c r="I520" t="inlineStr">
        <is>
          <t>verified_original_html</t>
        </is>
      </c>
      <c r="J520" t="inlineStr">
        <is>
          <t>https://www.shzfgjj.cn/html/newxxgk/ywsjtj/224695.html</t>
        </is>
      </c>
    </row>
    <row r="521">
      <c r="A521" t="n">
        <v>2024</v>
      </c>
      <c r="B521" t="n">
        <v>9</v>
      </c>
      <c r="C521" t="inlineStr">
        <is>
          <t>闵行</t>
        </is>
      </c>
      <c r="D521" t="n">
        <v>7.36</v>
      </c>
      <c r="E521" t="n">
        <v>63.08</v>
      </c>
      <c r="F521" t="n">
        <v>987433.71</v>
      </c>
      <c r="G521" t="n">
        <v>601868.12</v>
      </c>
      <c r="H521" t="inlineStr">
        <is>
          <t>2024-09-30</t>
        </is>
      </c>
      <c r="I521" t="inlineStr">
        <is>
          <t>verified_original_html</t>
        </is>
      </c>
      <c r="J521" t="inlineStr">
        <is>
          <t>https://www.shzfgjj.cn/html/newxxgk/ywsjtj/224695.html</t>
        </is>
      </c>
    </row>
    <row r="522">
      <c r="A522" t="n">
        <v>2024</v>
      </c>
      <c r="B522" t="n">
        <v>9</v>
      </c>
      <c r="C522" t="inlineStr">
        <is>
          <t>宝山</t>
        </is>
      </c>
      <c r="D522" t="n">
        <v>4.06</v>
      </c>
      <c r="E522" t="n">
        <v>39.04</v>
      </c>
      <c r="F522" t="n">
        <v>674078.85</v>
      </c>
      <c r="G522" t="n">
        <v>445657.78</v>
      </c>
      <c r="H522" t="inlineStr">
        <is>
          <t>2024-09-30</t>
        </is>
      </c>
      <c r="I522" t="inlineStr">
        <is>
          <t>verified_original_html</t>
        </is>
      </c>
      <c r="J522" t="inlineStr">
        <is>
          <t>https://www.shzfgjj.cn/html/newxxgk/ywsjtj/224695.html</t>
        </is>
      </c>
    </row>
    <row r="523">
      <c r="A523" t="n">
        <v>2024</v>
      </c>
      <c r="B523" t="n">
        <v>9</v>
      </c>
      <c r="C523" t="inlineStr">
        <is>
          <t>嘉定</t>
        </is>
      </c>
      <c r="D523" t="n">
        <v>3.47</v>
      </c>
      <c r="E523" t="n">
        <v>41.37</v>
      </c>
      <c r="F523" t="n">
        <v>749790.13</v>
      </c>
      <c r="G523" t="n">
        <v>457447.97</v>
      </c>
      <c r="H523" t="inlineStr">
        <is>
          <t>2024-09-30</t>
        </is>
      </c>
      <c r="I523" t="inlineStr">
        <is>
          <t>verified_original_html</t>
        </is>
      </c>
      <c r="J523" t="inlineStr">
        <is>
          <t>https://www.shzfgjj.cn/html/newxxgk/ywsjtj/224695.html</t>
        </is>
      </c>
    </row>
    <row r="524">
      <c r="A524" t="n">
        <v>2024</v>
      </c>
      <c r="B524" t="n">
        <v>9</v>
      </c>
      <c r="C524" t="inlineStr">
        <is>
          <t>浦东</t>
        </is>
      </c>
      <c r="D524" t="n">
        <v>10.56</v>
      </c>
      <c r="E524" t="n">
        <v>165.24</v>
      </c>
      <c r="F524" t="n">
        <v>3642061.55</v>
      </c>
      <c r="G524" t="n">
        <v>2219836.55</v>
      </c>
      <c r="H524" t="inlineStr">
        <is>
          <t>2024-09-30</t>
        </is>
      </c>
      <c r="I524" t="inlineStr">
        <is>
          <t>verified_original_html</t>
        </is>
      </c>
      <c r="J524" t="inlineStr">
        <is>
          <t>https://www.shzfgjj.cn/html/newxxgk/ywsjtj/224695.html</t>
        </is>
      </c>
    </row>
    <row r="525">
      <c r="A525" t="n">
        <v>2024</v>
      </c>
      <c r="B525" t="n">
        <v>9</v>
      </c>
      <c r="C525" t="inlineStr">
        <is>
          <t>奉贤</t>
        </is>
      </c>
      <c r="D525" t="n">
        <v>2.44</v>
      </c>
      <c r="E525" t="n">
        <v>22.7</v>
      </c>
      <c r="F525" t="n">
        <v>315171.63</v>
      </c>
      <c r="G525" t="n">
        <v>198514.93</v>
      </c>
      <c r="H525" t="inlineStr">
        <is>
          <t>2024-09-30</t>
        </is>
      </c>
      <c r="I525" t="inlineStr">
        <is>
          <t>verified_original_html</t>
        </is>
      </c>
      <c r="J525" t="inlineStr">
        <is>
          <t>https://www.shzfgjj.cn/html/newxxgk/ywsjtj/224695.html</t>
        </is>
      </c>
    </row>
    <row r="526">
      <c r="A526" t="n">
        <v>2024</v>
      </c>
      <c r="B526" t="n">
        <v>9</v>
      </c>
      <c r="C526" t="inlineStr">
        <is>
          <t>松江</t>
        </is>
      </c>
      <c r="D526" t="n">
        <v>3.79</v>
      </c>
      <c r="E526" t="n">
        <v>40.77</v>
      </c>
      <c r="F526" t="n">
        <v>540778.5600000001</v>
      </c>
      <c r="G526" t="n">
        <v>328027.75</v>
      </c>
      <c r="H526" t="inlineStr">
        <is>
          <t>2024-09-30</t>
        </is>
      </c>
      <c r="I526" t="inlineStr">
        <is>
          <t>verified_original_html</t>
        </is>
      </c>
      <c r="J526" t="inlineStr">
        <is>
          <t>https://www.shzfgjj.cn/html/newxxgk/ywsjtj/224695.html</t>
        </is>
      </c>
    </row>
    <row r="527">
      <c r="A527" t="n">
        <v>2024</v>
      </c>
      <c r="B527" t="n">
        <v>9</v>
      </c>
      <c r="C527" t="inlineStr">
        <is>
          <t>金山</t>
        </is>
      </c>
      <c r="D527" t="n">
        <v>1.57</v>
      </c>
      <c r="E527" t="n">
        <v>19.64</v>
      </c>
      <c r="F527" t="n">
        <v>293670.76</v>
      </c>
      <c r="G527" t="n">
        <v>208502.63</v>
      </c>
      <c r="H527" t="inlineStr">
        <is>
          <t>2024-09-30</t>
        </is>
      </c>
      <c r="I527" t="inlineStr">
        <is>
          <t>verified_original_html</t>
        </is>
      </c>
      <c r="J527" t="inlineStr">
        <is>
          <t>https://www.shzfgjj.cn/html/newxxgk/ywsjtj/224695.html</t>
        </is>
      </c>
    </row>
    <row r="528">
      <c r="A528" t="n">
        <v>2024</v>
      </c>
      <c r="B528" t="n">
        <v>9</v>
      </c>
      <c r="C528" t="inlineStr">
        <is>
          <t>青浦</t>
        </is>
      </c>
      <c r="D528" t="n">
        <v>2.01</v>
      </c>
      <c r="E528" t="n">
        <v>26.11</v>
      </c>
      <c r="F528" t="n">
        <v>373766.79</v>
      </c>
      <c r="G528" t="n">
        <v>223965.8</v>
      </c>
      <c r="H528" t="inlineStr">
        <is>
          <t>2024-09-30</t>
        </is>
      </c>
      <c r="I528" t="inlineStr">
        <is>
          <t>verified_original_html</t>
        </is>
      </c>
      <c r="J528" t="inlineStr">
        <is>
          <t>https://www.shzfgjj.cn/html/newxxgk/ywsjtj/224695.html</t>
        </is>
      </c>
    </row>
    <row r="529">
      <c r="A529" t="n">
        <v>2024</v>
      </c>
      <c r="B529" t="n">
        <v>9</v>
      </c>
      <c r="C529" t="inlineStr">
        <is>
          <t>崇明</t>
        </is>
      </c>
      <c r="D529" t="n">
        <v>0.41</v>
      </c>
      <c r="E529" t="n">
        <v>7.22</v>
      </c>
      <c r="F529" t="n">
        <v>127464.3</v>
      </c>
      <c r="G529" t="n">
        <v>90599.86</v>
      </c>
      <c r="H529" t="inlineStr">
        <is>
          <t>2024-09-30</t>
        </is>
      </c>
      <c r="I529" t="inlineStr">
        <is>
          <t>verified_original_html</t>
        </is>
      </c>
      <c r="J529" t="inlineStr">
        <is>
          <t>https://www.shzfgjj.cn/html/newxxgk/ywsjtj/224695.html</t>
        </is>
      </c>
    </row>
    <row r="530">
      <c r="A530" t="n">
        <v>2024</v>
      </c>
      <c r="B530" t="n">
        <v>10</v>
      </c>
      <c r="C530" t="inlineStr">
        <is>
          <t>黄浦</t>
        </is>
      </c>
      <c r="D530" t="n">
        <v>3.59</v>
      </c>
      <c r="E530" t="n">
        <v>120.12</v>
      </c>
      <c r="F530" t="n">
        <v>4486453.59</v>
      </c>
      <c r="G530" t="n">
        <v>4465912.29</v>
      </c>
      <c r="H530" t="inlineStr">
        <is>
          <t>2024-10-31</t>
        </is>
      </c>
      <c r="I530" t="inlineStr">
        <is>
          <t>verified_original_html</t>
        </is>
      </c>
      <c r="J530" t="inlineStr">
        <is>
          <t>https://www.shzfgjj.cn/html/newxxgk/ywsjtj/225290.html</t>
        </is>
      </c>
    </row>
    <row r="531">
      <c r="A531" t="n">
        <v>2024</v>
      </c>
      <c r="B531" t="n">
        <v>10</v>
      </c>
      <c r="C531" t="inlineStr">
        <is>
          <t>徐汇</t>
        </is>
      </c>
      <c r="D531" t="n">
        <v>5.57</v>
      </c>
      <c r="E531" t="n">
        <v>91.15000000000001</v>
      </c>
      <c r="F531" t="n">
        <v>2576912.81</v>
      </c>
      <c r="G531" t="n">
        <v>1546040.69</v>
      </c>
      <c r="H531" t="inlineStr">
        <is>
          <t>2024-10-31</t>
        </is>
      </c>
      <c r="I531" t="inlineStr">
        <is>
          <t>verified_original_html</t>
        </is>
      </c>
      <c r="J531" t="inlineStr">
        <is>
          <t>https://www.shzfgjj.cn/html/newxxgk/ywsjtj/225290.html</t>
        </is>
      </c>
    </row>
    <row r="532">
      <c r="A532" t="n">
        <v>2024</v>
      </c>
      <c r="B532" t="n">
        <v>10</v>
      </c>
      <c r="C532" t="inlineStr">
        <is>
          <t>长宁</t>
        </is>
      </c>
      <c r="D532" t="n">
        <v>2.54</v>
      </c>
      <c r="E532" t="n">
        <v>52.03</v>
      </c>
      <c r="F532" t="n">
        <v>1355585</v>
      </c>
      <c r="G532" t="n">
        <v>832307.22</v>
      </c>
      <c r="H532" t="inlineStr">
        <is>
          <t>2024-10-31</t>
        </is>
      </c>
      <c r="I532" t="inlineStr">
        <is>
          <t>verified_original_html</t>
        </is>
      </c>
      <c r="J532" t="inlineStr">
        <is>
          <t>https://www.shzfgjj.cn/html/newxxgk/ywsjtj/225290.html</t>
        </is>
      </c>
    </row>
    <row r="533">
      <c r="A533" t="n">
        <v>2024</v>
      </c>
      <c r="B533" t="n">
        <v>10</v>
      </c>
      <c r="C533" t="inlineStr">
        <is>
          <t>静安</t>
        </is>
      </c>
      <c r="D533" t="n">
        <v>3.98</v>
      </c>
      <c r="E533" t="n">
        <v>63.42</v>
      </c>
      <c r="F533" t="n">
        <v>1467098.65</v>
      </c>
      <c r="G533" t="n">
        <v>906917.84</v>
      </c>
      <c r="H533" t="inlineStr">
        <is>
          <t>2024-10-31</t>
        </is>
      </c>
      <c r="I533" t="inlineStr">
        <is>
          <t>verified_original_html</t>
        </is>
      </c>
      <c r="J533" t="inlineStr">
        <is>
          <t>https://www.shzfgjj.cn/html/newxxgk/ywsjtj/225290.html</t>
        </is>
      </c>
    </row>
    <row r="534">
      <c r="A534" t="n">
        <v>2024</v>
      </c>
      <c r="B534" t="n">
        <v>10</v>
      </c>
      <c r="C534" t="inlineStr">
        <is>
          <t>普陀</t>
        </is>
      </c>
      <c r="D534" t="n">
        <v>3.72</v>
      </c>
      <c r="E534" t="n">
        <v>34.81</v>
      </c>
      <c r="F534" t="n">
        <v>635916.49</v>
      </c>
      <c r="G534" t="n">
        <v>383045.2</v>
      </c>
      <c r="H534" t="inlineStr">
        <is>
          <t>2024-10-31</t>
        </is>
      </c>
      <c r="I534" t="inlineStr">
        <is>
          <t>verified_original_html</t>
        </is>
      </c>
      <c r="J534" t="inlineStr">
        <is>
          <t>https://www.shzfgjj.cn/html/newxxgk/ywsjtj/225290.html</t>
        </is>
      </c>
    </row>
    <row r="535">
      <c r="A535" t="n">
        <v>2024</v>
      </c>
      <c r="B535" t="n">
        <v>10</v>
      </c>
      <c r="C535" t="inlineStr">
        <is>
          <t>虹口</t>
        </is>
      </c>
      <c r="D535" t="n">
        <v>2.4</v>
      </c>
      <c r="E535" t="n">
        <v>29.1</v>
      </c>
      <c r="F535" t="n">
        <v>636148.72</v>
      </c>
      <c r="G535" t="n">
        <v>407654.14</v>
      </c>
      <c r="H535" t="inlineStr">
        <is>
          <t>2024-10-31</t>
        </is>
      </c>
      <c r="I535" t="inlineStr">
        <is>
          <t>verified_original_html</t>
        </is>
      </c>
      <c r="J535" t="inlineStr">
        <is>
          <t>https://www.shzfgjj.cn/html/newxxgk/ywsjtj/225290.html</t>
        </is>
      </c>
    </row>
    <row r="536">
      <c r="A536" t="n">
        <v>2024</v>
      </c>
      <c r="B536" t="n">
        <v>10</v>
      </c>
      <c r="C536" t="inlineStr">
        <is>
          <t>杨浦</t>
        </is>
      </c>
      <c r="D536" t="n">
        <v>2.56</v>
      </c>
      <c r="E536" t="n">
        <v>32.82</v>
      </c>
      <c r="F536" t="n">
        <v>819718.11</v>
      </c>
      <c r="G536" t="n">
        <v>502240.98</v>
      </c>
      <c r="H536" t="inlineStr">
        <is>
          <t>2024-10-31</t>
        </is>
      </c>
      <c r="I536" t="inlineStr">
        <is>
          <t>verified_original_html</t>
        </is>
      </c>
      <c r="J536" t="inlineStr">
        <is>
          <t>https://www.shzfgjj.cn/html/newxxgk/ywsjtj/225290.html</t>
        </is>
      </c>
    </row>
    <row r="537">
      <c r="A537" t="n">
        <v>2024</v>
      </c>
      <c r="B537" t="n">
        <v>10</v>
      </c>
      <c r="C537" t="inlineStr">
        <is>
          <t>闵行</t>
        </is>
      </c>
      <c r="D537" t="n">
        <v>7.43</v>
      </c>
      <c r="E537" t="n">
        <v>63.28</v>
      </c>
      <c r="F537" t="n">
        <v>1101875.17</v>
      </c>
      <c r="G537" t="n">
        <v>660739.78</v>
      </c>
      <c r="H537" t="inlineStr">
        <is>
          <t>2024-10-31</t>
        </is>
      </c>
      <c r="I537" t="inlineStr">
        <is>
          <t>verified_original_html</t>
        </is>
      </c>
      <c r="J537" t="inlineStr">
        <is>
          <t>https://www.shzfgjj.cn/html/newxxgk/ywsjtj/225290.html</t>
        </is>
      </c>
    </row>
    <row r="538">
      <c r="A538" t="n">
        <v>2024</v>
      </c>
      <c r="B538" t="n">
        <v>10</v>
      </c>
      <c r="C538" t="inlineStr">
        <is>
          <t>宝山</t>
        </is>
      </c>
      <c r="D538" t="n">
        <v>4.07</v>
      </c>
      <c r="E538" t="n">
        <v>39.07</v>
      </c>
      <c r="F538" t="n">
        <v>750656.9</v>
      </c>
      <c r="G538" t="n">
        <v>486689.09</v>
      </c>
      <c r="H538" t="inlineStr">
        <is>
          <t>2024-10-31</t>
        </is>
      </c>
      <c r="I538" t="inlineStr">
        <is>
          <t>verified_original_html</t>
        </is>
      </c>
      <c r="J538" t="inlineStr">
        <is>
          <t>https://www.shzfgjj.cn/html/newxxgk/ywsjtj/225290.html</t>
        </is>
      </c>
    </row>
    <row r="539">
      <c r="A539" t="n">
        <v>2024</v>
      </c>
      <c r="B539" t="n">
        <v>10</v>
      </c>
      <c r="C539" t="inlineStr">
        <is>
          <t>嘉定</t>
        </is>
      </c>
      <c r="D539" t="n">
        <v>3.49</v>
      </c>
      <c r="E539" t="n">
        <v>41.39</v>
      </c>
      <c r="F539" t="n">
        <v>834480.04</v>
      </c>
      <c r="G539" t="n">
        <v>498578.17</v>
      </c>
      <c r="H539" t="inlineStr">
        <is>
          <t>2024-10-31</t>
        </is>
      </c>
      <c r="I539" t="inlineStr">
        <is>
          <t>verified_original_html</t>
        </is>
      </c>
      <c r="J539" t="inlineStr">
        <is>
          <t>https://www.shzfgjj.cn/html/newxxgk/ywsjtj/225290.html</t>
        </is>
      </c>
    </row>
    <row r="540">
      <c r="A540" t="n">
        <v>2024</v>
      </c>
      <c r="B540" t="n">
        <v>10</v>
      </c>
      <c r="C540" t="inlineStr">
        <is>
          <t>浦东</t>
        </is>
      </c>
      <c r="D540" t="n">
        <v>10.59</v>
      </c>
      <c r="E540" t="n">
        <v>165.02</v>
      </c>
      <c r="F540" t="n">
        <v>4057599.33</v>
      </c>
      <c r="G540" t="n">
        <v>2426416.61</v>
      </c>
      <c r="H540" t="inlineStr">
        <is>
          <t>2024-10-31</t>
        </is>
      </c>
      <c r="I540" t="inlineStr">
        <is>
          <t>verified_original_html</t>
        </is>
      </c>
      <c r="J540" t="inlineStr">
        <is>
          <t>https://www.shzfgjj.cn/html/newxxgk/ywsjtj/225290.html</t>
        </is>
      </c>
    </row>
    <row r="541">
      <c r="A541" t="n">
        <v>2024</v>
      </c>
      <c r="B541" t="n">
        <v>10</v>
      </c>
      <c r="C541" t="inlineStr">
        <is>
          <t>奉贤</t>
        </is>
      </c>
      <c r="D541" t="n">
        <v>2.45</v>
      </c>
      <c r="E541" t="n">
        <v>22.73</v>
      </c>
      <c r="F541" t="n">
        <v>351372.54</v>
      </c>
      <c r="G541" t="n">
        <v>215920.92</v>
      </c>
      <c r="H541" t="inlineStr">
        <is>
          <t>2024-10-31</t>
        </is>
      </c>
      <c r="I541" t="inlineStr">
        <is>
          <t>verified_original_html</t>
        </is>
      </c>
      <c r="J541" t="inlineStr">
        <is>
          <t>https://www.shzfgjj.cn/html/newxxgk/ywsjtj/225290.html</t>
        </is>
      </c>
    </row>
    <row r="542">
      <c r="A542" t="n">
        <v>2024</v>
      </c>
      <c r="B542" t="n">
        <v>10</v>
      </c>
      <c r="C542" t="inlineStr">
        <is>
          <t>松江</t>
        </is>
      </c>
      <c r="D542" t="n">
        <v>3.8</v>
      </c>
      <c r="E542" t="n">
        <v>40.85</v>
      </c>
      <c r="F542" t="n">
        <v>602734.38</v>
      </c>
      <c r="G542" t="n">
        <v>358868.45</v>
      </c>
      <c r="H542" t="inlineStr">
        <is>
          <t>2024-10-31</t>
        </is>
      </c>
      <c r="I542" t="inlineStr">
        <is>
          <t>verified_original_html</t>
        </is>
      </c>
      <c r="J542" t="inlineStr">
        <is>
          <t>https://www.shzfgjj.cn/html/newxxgk/ywsjtj/225290.html</t>
        </is>
      </c>
    </row>
    <row r="543">
      <c r="A543" t="n">
        <v>2024</v>
      </c>
      <c r="B543" t="n">
        <v>10</v>
      </c>
      <c r="C543" t="inlineStr">
        <is>
          <t>金山</t>
        </is>
      </c>
      <c r="D543" t="n">
        <v>1.57</v>
      </c>
      <c r="E543" t="n">
        <v>19.6</v>
      </c>
      <c r="F543" t="n">
        <v>326999.47</v>
      </c>
      <c r="G543" t="n">
        <v>226240.33</v>
      </c>
      <c r="H543" t="inlineStr">
        <is>
          <t>2024-10-31</t>
        </is>
      </c>
      <c r="I543" t="inlineStr">
        <is>
          <t>verified_original_html</t>
        </is>
      </c>
      <c r="J543" t="inlineStr">
        <is>
          <t>https://www.shzfgjj.cn/html/newxxgk/ywsjtj/225290.html</t>
        </is>
      </c>
    </row>
    <row r="544">
      <c r="A544" t="n">
        <v>2024</v>
      </c>
      <c r="B544" t="n">
        <v>10</v>
      </c>
      <c r="C544" t="inlineStr">
        <is>
          <t>青浦</t>
        </is>
      </c>
      <c r="D544" t="n">
        <v>2.02</v>
      </c>
      <c r="E544" t="n">
        <v>26.19</v>
      </c>
      <c r="F544" t="n">
        <v>416709.74</v>
      </c>
      <c r="G544" t="n">
        <v>244988.97</v>
      </c>
      <c r="H544" t="inlineStr">
        <is>
          <t>2024-10-31</t>
        </is>
      </c>
      <c r="I544" t="inlineStr">
        <is>
          <t>verified_original_html</t>
        </is>
      </c>
      <c r="J544" t="inlineStr">
        <is>
          <t>https://www.shzfgjj.cn/html/newxxgk/ywsjtj/225290.html</t>
        </is>
      </c>
    </row>
    <row r="545">
      <c r="A545" t="n">
        <v>2024</v>
      </c>
      <c r="B545" t="n">
        <v>10</v>
      </c>
      <c r="C545" t="inlineStr">
        <is>
          <t>崇明</t>
        </is>
      </c>
      <c r="D545" t="n">
        <v>0.41</v>
      </c>
      <c r="E545" t="n">
        <v>7.13</v>
      </c>
      <c r="F545" t="n">
        <v>141606.23</v>
      </c>
      <c r="G545" t="n">
        <v>98907.92</v>
      </c>
      <c r="H545" t="inlineStr">
        <is>
          <t>2024-10-31</t>
        </is>
      </c>
      <c r="I545" t="inlineStr">
        <is>
          <t>verified_original_html</t>
        </is>
      </c>
      <c r="J545" t="inlineStr">
        <is>
          <t>https://www.shzfgjj.cn/html/newxxgk/ywsjtj/225290.html</t>
        </is>
      </c>
    </row>
    <row r="546">
      <c r="A546" t="n">
        <v>2024</v>
      </c>
      <c r="B546" t="n">
        <v>11</v>
      </c>
      <c r="C546" t="inlineStr">
        <is>
          <t>黄浦</t>
        </is>
      </c>
      <c r="D546" t="n">
        <v>3.59</v>
      </c>
      <c r="E546" t="n">
        <v>120.08</v>
      </c>
      <c r="F546" t="n">
        <v>4941018.89</v>
      </c>
      <c r="G546" t="n">
        <v>4889260.48</v>
      </c>
      <c r="H546" t="inlineStr">
        <is>
          <t>2024-11-30</t>
        </is>
      </c>
      <c r="I546" t="inlineStr">
        <is>
          <t>verified_original_html</t>
        </is>
      </c>
      <c r="J546" t="inlineStr">
        <is>
          <t>https://www.shzfgjj.cn/html/newxxgk/ywsjtj/225902.html</t>
        </is>
      </c>
    </row>
    <row r="547">
      <c r="A547" t="n">
        <v>2024</v>
      </c>
      <c r="B547" t="n">
        <v>11</v>
      </c>
      <c r="C547" t="inlineStr">
        <is>
          <t>徐汇</t>
        </is>
      </c>
      <c r="D547" t="n">
        <v>5.58</v>
      </c>
      <c r="E547" t="n">
        <v>90.89</v>
      </c>
      <c r="F547" t="n">
        <v>2834171.35</v>
      </c>
      <c r="G547" t="n">
        <v>1682631.9</v>
      </c>
      <c r="H547" t="inlineStr">
        <is>
          <t>2024-11-30</t>
        </is>
      </c>
      <c r="I547" t="inlineStr">
        <is>
          <t>verified_original_html</t>
        </is>
      </c>
      <c r="J547" t="inlineStr">
        <is>
          <t>https://www.shzfgjj.cn/html/newxxgk/ywsjtj/225902.html</t>
        </is>
      </c>
    </row>
    <row r="548">
      <c r="A548" t="n">
        <v>2024</v>
      </c>
      <c r="B548" t="n">
        <v>11</v>
      </c>
      <c r="C548" t="inlineStr">
        <is>
          <t>长宁</t>
        </is>
      </c>
      <c r="D548" t="n">
        <v>2.54</v>
      </c>
      <c r="E548" t="n">
        <v>51.93</v>
      </c>
      <c r="F548" t="n">
        <v>1492079.87</v>
      </c>
      <c r="G548" t="n">
        <v>904512.21</v>
      </c>
      <c r="H548" t="inlineStr">
        <is>
          <t>2024-11-30</t>
        </is>
      </c>
      <c r="I548" t="inlineStr">
        <is>
          <t>verified_original_html</t>
        </is>
      </c>
      <c r="J548" t="inlineStr">
        <is>
          <t>https://www.shzfgjj.cn/html/newxxgk/ywsjtj/225902.html</t>
        </is>
      </c>
    </row>
    <row r="549">
      <c r="A549" t="n">
        <v>2024</v>
      </c>
      <c r="B549" t="n">
        <v>11</v>
      </c>
      <c r="C549" t="inlineStr">
        <is>
          <t>静安</t>
        </is>
      </c>
      <c r="D549" t="n">
        <v>3.98</v>
      </c>
      <c r="E549" t="n">
        <v>63.32</v>
      </c>
      <c r="F549" t="n">
        <v>1618628.79</v>
      </c>
      <c r="G549" t="n">
        <v>988842.24</v>
      </c>
      <c r="H549" t="inlineStr">
        <is>
          <t>2024-11-30</t>
        </is>
      </c>
      <c r="I549" t="inlineStr">
        <is>
          <t>verified_original_html</t>
        </is>
      </c>
      <c r="J549" t="inlineStr">
        <is>
          <t>https://www.shzfgjj.cn/html/newxxgk/ywsjtj/225902.html</t>
        </is>
      </c>
    </row>
    <row r="550">
      <c r="A550" t="n">
        <v>2024</v>
      </c>
      <c r="B550" t="n">
        <v>11</v>
      </c>
      <c r="C550" t="inlineStr">
        <is>
          <t>普陀</t>
        </is>
      </c>
      <c r="D550" t="n">
        <v>3.72</v>
      </c>
      <c r="E550" t="n">
        <v>34.76</v>
      </c>
      <c r="F550" t="n">
        <v>701357.87</v>
      </c>
      <c r="G550" t="n">
        <v>417886.35</v>
      </c>
      <c r="H550" t="inlineStr">
        <is>
          <t>2024-11-30</t>
        </is>
      </c>
      <c r="I550" t="inlineStr">
        <is>
          <t>verified_original_html</t>
        </is>
      </c>
      <c r="J550" t="inlineStr">
        <is>
          <t>https://www.shzfgjj.cn/html/newxxgk/ywsjtj/225902.html</t>
        </is>
      </c>
    </row>
    <row r="551">
      <c r="A551" t="n">
        <v>2024</v>
      </c>
      <c r="B551" t="n">
        <v>11</v>
      </c>
      <c r="C551" t="inlineStr">
        <is>
          <t>虹口</t>
        </is>
      </c>
      <c r="D551" t="n">
        <v>2.4</v>
      </c>
      <c r="E551" t="n">
        <v>29.01</v>
      </c>
      <c r="F551" t="n">
        <v>701272.45</v>
      </c>
      <c r="G551" t="n">
        <v>443811.52</v>
      </c>
      <c r="H551" t="inlineStr">
        <is>
          <t>2024-11-30</t>
        </is>
      </c>
      <c r="I551" t="inlineStr">
        <is>
          <t>verified_original_html</t>
        </is>
      </c>
      <c r="J551" t="inlineStr">
        <is>
          <t>https://www.shzfgjj.cn/html/newxxgk/ywsjtj/225902.html</t>
        </is>
      </c>
    </row>
    <row r="552">
      <c r="A552" t="n">
        <v>2024</v>
      </c>
      <c r="B552" t="n">
        <v>11</v>
      </c>
      <c r="C552" t="inlineStr">
        <is>
          <t>杨浦</t>
        </is>
      </c>
      <c r="D552" t="n">
        <v>2.56</v>
      </c>
      <c r="E552" t="n">
        <v>32.69</v>
      </c>
      <c r="F552" t="n">
        <v>902448.16</v>
      </c>
      <c r="G552" t="n">
        <v>548729.03</v>
      </c>
      <c r="H552" t="inlineStr">
        <is>
          <t>2024-11-30</t>
        </is>
      </c>
      <c r="I552" t="inlineStr">
        <is>
          <t>verified_original_html</t>
        </is>
      </c>
      <c r="J552" t="inlineStr">
        <is>
          <t>https://www.shzfgjj.cn/html/newxxgk/ywsjtj/225902.html</t>
        </is>
      </c>
    </row>
    <row r="553">
      <c r="A553" t="n">
        <v>2024</v>
      </c>
      <c r="B553" t="n">
        <v>11</v>
      </c>
      <c r="C553" t="inlineStr">
        <is>
          <t>闵行</t>
        </is>
      </c>
      <c r="D553" t="n">
        <v>7.5</v>
      </c>
      <c r="E553" t="n">
        <v>63.21</v>
      </c>
      <c r="F553" t="n">
        <v>1216241.37</v>
      </c>
      <c r="G553" t="n">
        <v>722042.41</v>
      </c>
      <c r="H553" t="inlineStr">
        <is>
          <t>2024-11-30</t>
        </is>
      </c>
      <c r="I553" t="inlineStr">
        <is>
          <t>verified_original_html</t>
        </is>
      </c>
      <c r="J553" t="inlineStr">
        <is>
          <t>https://www.shzfgjj.cn/html/newxxgk/ywsjtj/225902.html</t>
        </is>
      </c>
    </row>
    <row r="554">
      <c r="A554" t="n">
        <v>2024</v>
      </c>
      <c r="B554" t="n">
        <v>11</v>
      </c>
      <c r="C554" t="inlineStr">
        <is>
          <t>宝山</t>
        </is>
      </c>
      <c r="D554" t="n">
        <v>4.09</v>
      </c>
      <c r="E554" t="n">
        <v>39.03</v>
      </c>
      <c r="F554" t="n">
        <v>826778.67</v>
      </c>
      <c r="G554" t="n">
        <v>529958.1899999999</v>
      </c>
      <c r="H554" t="inlineStr">
        <is>
          <t>2024-11-30</t>
        </is>
      </c>
      <c r="I554" t="inlineStr">
        <is>
          <t>verified_original_html</t>
        </is>
      </c>
      <c r="J554" t="inlineStr">
        <is>
          <t>https://www.shzfgjj.cn/html/newxxgk/ywsjtj/225902.html</t>
        </is>
      </c>
    </row>
    <row r="555">
      <c r="A555" t="n">
        <v>2024</v>
      </c>
      <c r="B555" t="n">
        <v>11</v>
      </c>
      <c r="C555" t="inlineStr">
        <is>
          <t>嘉定</t>
        </is>
      </c>
      <c r="D555" t="n">
        <v>3.51</v>
      </c>
      <c r="E555" t="n">
        <v>41.47</v>
      </c>
      <c r="F555" t="n">
        <v>919434.64</v>
      </c>
      <c r="G555" t="n">
        <v>542415.26</v>
      </c>
      <c r="H555" t="inlineStr">
        <is>
          <t>2024-11-30</t>
        </is>
      </c>
      <c r="I555" t="inlineStr">
        <is>
          <t>verified_original_html</t>
        </is>
      </c>
      <c r="J555" t="inlineStr">
        <is>
          <t>https://www.shzfgjj.cn/html/newxxgk/ywsjtj/225902.html</t>
        </is>
      </c>
    </row>
    <row r="556">
      <c r="A556" t="n">
        <v>2024</v>
      </c>
      <c r="B556" t="n">
        <v>11</v>
      </c>
      <c r="C556" t="inlineStr">
        <is>
          <t>浦东</t>
        </is>
      </c>
      <c r="D556" t="n">
        <v>10.62</v>
      </c>
      <c r="E556" t="n">
        <v>164.91</v>
      </c>
      <c r="F556" t="n">
        <v>4471803.22</v>
      </c>
      <c r="G556" t="n">
        <v>2643929.28</v>
      </c>
      <c r="H556" t="inlineStr">
        <is>
          <t>2024-11-30</t>
        </is>
      </c>
      <c r="I556" t="inlineStr">
        <is>
          <t>verified_original_html</t>
        </is>
      </c>
      <c r="J556" t="inlineStr">
        <is>
          <t>https://www.shzfgjj.cn/html/newxxgk/ywsjtj/225902.html</t>
        </is>
      </c>
    </row>
    <row r="557">
      <c r="A557" t="n">
        <v>2024</v>
      </c>
      <c r="B557" t="n">
        <v>11</v>
      </c>
      <c r="C557" t="inlineStr">
        <is>
          <t>奉贤</t>
        </is>
      </c>
      <c r="D557" t="n">
        <v>2.46</v>
      </c>
      <c r="E557" t="n">
        <v>22.77</v>
      </c>
      <c r="F557" t="n">
        <v>386963.57</v>
      </c>
      <c r="G557" t="n">
        <v>234574.86</v>
      </c>
      <c r="H557" t="inlineStr">
        <is>
          <t>2024-11-30</t>
        </is>
      </c>
      <c r="I557" t="inlineStr">
        <is>
          <t>verified_original_html</t>
        </is>
      </c>
      <c r="J557" t="inlineStr">
        <is>
          <t>https://www.shzfgjj.cn/html/newxxgk/ywsjtj/225902.html</t>
        </is>
      </c>
    </row>
    <row r="558">
      <c r="A558" t="n">
        <v>2024</v>
      </c>
      <c r="B558" t="n">
        <v>11</v>
      </c>
      <c r="C558" t="inlineStr">
        <is>
          <t>松江</t>
        </is>
      </c>
      <c r="D558" t="n">
        <v>3.82</v>
      </c>
      <c r="E558" t="n">
        <v>40.91</v>
      </c>
      <c r="F558" t="n">
        <v>664678.9300000001</v>
      </c>
      <c r="G558" t="n">
        <v>390854.23</v>
      </c>
      <c r="H558" t="inlineStr">
        <is>
          <t>2024-11-30</t>
        </is>
      </c>
      <c r="I558" t="inlineStr">
        <is>
          <t>verified_original_html</t>
        </is>
      </c>
      <c r="J558" t="inlineStr">
        <is>
          <t>https://www.shzfgjj.cn/html/newxxgk/ywsjtj/225902.html</t>
        </is>
      </c>
    </row>
    <row r="559">
      <c r="A559" t="n">
        <v>2024</v>
      </c>
      <c r="B559" t="n">
        <v>11</v>
      </c>
      <c r="C559" t="inlineStr">
        <is>
          <t>金山</t>
        </is>
      </c>
      <c r="D559" t="n">
        <v>1.57</v>
      </c>
      <c r="E559" t="n">
        <v>19.59</v>
      </c>
      <c r="F559" t="n">
        <v>359940.59</v>
      </c>
      <c r="G559" t="n">
        <v>244056.14</v>
      </c>
      <c r="H559" t="inlineStr">
        <is>
          <t>2024-11-30</t>
        </is>
      </c>
      <c r="I559" t="inlineStr">
        <is>
          <t>verified_original_html</t>
        </is>
      </c>
      <c r="J559" t="inlineStr">
        <is>
          <t>https://www.shzfgjj.cn/html/newxxgk/ywsjtj/225902.html</t>
        </is>
      </c>
    </row>
    <row r="560">
      <c r="A560" t="n">
        <v>2024</v>
      </c>
      <c r="B560" t="n">
        <v>11</v>
      </c>
      <c r="C560" t="inlineStr">
        <is>
          <t>青浦</t>
        </is>
      </c>
      <c r="D560" t="n">
        <v>2.02</v>
      </c>
      <c r="E560" t="n">
        <v>26.19</v>
      </c>
      <c r="F560" t="n">
        <v>459411.84</v>
      </c>
      <c r="G560" t="n">
        <v>266716.17</v>
      </c>
      <c r="H560" t="inlineStr">
        <is>
          <t>2024-11-30</t>
        </is>
      </c>
      <c r="I560" t="inlineStr">
        <is>
          <t>verified_original_html</t>
        </is>
      </c>
      <c r="J560" t="inlineStr">
        <is>
          <t>https://www.shzfgjj.cn/html/newxxgk/ywsjtj/225902.html</t>
        </is>
      </c>
    </row>
    <row r="561">
      <c r="A561" t="n">
        <v>2024</v>
      </c>
      <c r="B561" t="n">
        <v>11</v>
      </c>
      <c r="C561" t="inlineStr">
        <is>
          <t>崇明</t>
        </is>
      </c>
      <c r="D561" t="n">
        <v>0.41</v>
      </c>
      <c r="E561" t="n">
        <v>7.09</v>
      </c>
      <c r="F561" t="n">
        <v>155881.42</v>
      </c>
      <c r="G561" t="n">
        <v>107290.43</v>
      </c>
      <c r="H561" t="inlineStr">
        <is>
          <t>2024-11-30</t>
        </is>
      </c>
      <c r="I561" t="inlineStr">
        <is>
          <t>verified_original_html</t>
        </is>
      </c>
      <c r="J561" t="inlineStr">
        <is>
          <t>https://www.shzfgjj.cn/html/newxxgk/ywsjtj/225902.html</t>
        </is>
      </c>
    </row>
    <row r="562">
      <c r="A562" t="n">
        <v>2024</v>
      </c>
      <c r="B562" t="n">
        <v>12</v>
      </c>
      <c r="C562" t="inlineStr">
        <is>
          <t>黄浦</t>
        </is>
      </c>
      <c r="D562" t="n">
        <v>3.6</v>
      </c>
      <c r="E562" t="n">
        <v>119.51</v>
      </c>
      <c r="F562" t="n">
        <v>5400135.29</v>
      </c>
      <c r="G562" t="n">
        <v>5338608.91</v>
      </c>
      <c r="H562" t="inlineStr">
        <is>
          <t>2024-12-31</t>
        </is>
      </c>
      <c r="I562" t="inlineStr">
        <is>
          <t>verified_original_html</t>
        </is>
      </c>
      <c r="J562" t="inlineStr">
        <is>
          <t>https://www.shzfgjj.cn/html/newxxgk/ywsjtj/226404.html</t>
        </is>
      </c>
    </row>
    <row r="563">
      <c r="A563" t="n">
        <v>2024</v>
      </c>
      <c r="B563" t="n">
        <v>12</v>
      </c>
      <c r="C563" t="inlineStr">
        <is>
          <t>徐汇</t>
        </is>
      </c>
      <c r="D563" t="n">
        <v>5.6</v>
      </c>
      <c r="E563" t="n">
        <v>91.13</v>
      </c>
      <c r="F563" t="n">
        <v>3094680.13</v>
      </c>
      <c r="G563" t="n">
        <v>1828747.38</v>
      </c>
      <c r="H563" t="inlineStr">
        <is>
          <t>2024-12-31</t>
        </is>
      </c>
      <c r="I563" t="inlineStr">
        <is>
          <t>verified_original_html</t>
        </is>
      </c>
      <c r="J563" t="inlineStr">
        <is>
          <t>https://www.shzfgjj.cn/html/newxxgk/ywsjtj/226404.html</t>
        </is>
      </c>
    </row>
    <row r="564">
      <c r="A564" t="n">
        <v>2024</v>
      </c>
      <c r="B564" t="n">
        <v>12</v>
      </c>
      <c r="C564" t="inlineStr">
        <is>
          <t>长宁</t>
        </is>
      </c>
      <c r="D564" t="n">
        <v>2.54</v>
      </c>
      <c r="E564" t="n">
        <v>51.8</v>
      </c>
      <c r="F564" t="n">
        <v>1626844.02</v>
      </c>
      <c r="G564" t="n">
        <v>981861.08</v>
      </c>
      <c r="H564" t="inlineStr">
        <is>
          <t>2024-12-31</t>
        </is>
      </c>
      <c r="I564" t="inlineStr">
        <is>
          <t>verified_original_html</t>
        </is>
      </c>
      <c r="J564" t="inlineStr">
        <is>
          <t>https://www.shzfgjj.cn/html/newxxgk/ywsjtj/226404.html</t>
        </is>
      </c>
    </row>
    <row r="565">
      <c r="A565" t="n">
        <v>2024</v>
      </c>
      <c r="B565" t="n">
        <v>12</v>
      </c>
      <c r="C565" t="inlineStr">
        <is>
          <t>静安</t>
        </is>
      </c>
      <c r="D565" t="n">
        <v>3.99</v>
      </c>
      <c r="E565" t="n">
        <v>63.2</v>
      </c>
      <c r="F565" t="n">
        <v>1775991.01</v>
      </c>
      <c r="G565" t="n">
        <v>1076084.47</v>
      </c>
      <c r="H565" t="inlineStr">
        <is>
          <t>2024-12-31</t>
        </is>
      </c>
      <c r="I565" t="inlineStr">
        <is>
          <t>verified_original_html</t>
        </is>
      </c>
      <c r="J565" t="inlineStr">
        <is>
          <t>https://www.shzfgjj.cn/html/newxxgk/ywsjtj/226404.html</t>
        </is>
      </c>
    </row>
    <row r="566">
      <c r="A566" t="n">
        <v>2024</v>
      </c>
      <c r="B566" t="n">
        <v>12</v>
      </c>
      <c r="C566" t="inlineStr">
        <is>
          <t>普陀</t>
        </is>
      </c>
      <c r="D566" t="n">
        <v>3.73</v>
      </c>
      <c r="E566" t="n">
        <v>34.65</v>
      </c>
      <c r="F566" t="n">
        <v>769298.9399999999</v>
      </c>
      <c r="G566" t="n">
        <v>456712.24</v>
      </c>
      <c r="H566" t="inlineStr">
        <is>
          <t>2024-12-31</t>
        </is>
      </c>
      <c r="I566" t="inlineStr">
        <is>
          <t>verified_original_html</t>
        </is>
      </c>
      <c r="J566" t="inlineStr">
        <is>
          <t>https://www.shzfgjj.cn/html/newxxgk/ywsjtj/226404.html</t>
        </is>
      </c>
    </row>
    <row r="567">
      <c r="A567" t="n">
        <v>2024</v>
      </c>
      <c r="B567" t="n">
        <v>12</v>
      </c>
      <c r="C567" t="inlineStr">
        <is>
          <t>虹口</t>
        </is>
      </c>
      <c r="D567" t="n">
        <v>2.4</v>
      </c>
      <c r="E567" t="n">
        <v>28.9</v>
      </c>
      <c r="F567" t="n">
        <v>765924.59</v>
      </c>
      <c r="G567" t="n">
        <v>482789.38</v>
      </c>
      <c r="H567" t="inlineStr">
        <is>
          <t>2024-12-31</t>
        </is>
      </c>
      <c r="I567" t="inlineStr">
        <is>
          <t>verified_original_html</t>
        </is>
      </c>
      <c r="J567" t="inlineStr">
        <is>
          <t>https://www.shzfgjj.cn/html/newxxgk/ywsjtj/226404.html</t>
        </is>
      </c>
    </row>
    <row r="568">
      <c r="A568" t="n">
        <v>2024</v>
      </c>
      <c r="B568" t="n">
        <v>12</v>
      </c>
      <c r="C568" t="inlineStr">
        <is>
          <t>杨浦</t>
        </is>
      </c>
      <c r="D568" t="n">
        <v>2.56</v>
      </c>
      <c r="E568" t="n">
        <v>32.63</v>
      </c>
      <c r="F568" t="n">
        <v>985312.03</v>
      </c>
      <c r="G568" t="n">
        <v>595986.61</v>
      </c>
      <c r="H568" t="inlineStr">
        <is>
          <t>2024-12-31</t>
        </is>
      </c>
      <c r="I568" t="inlineStr">
        <is>
          <t>verified_original_html</t>
        </is>
      </c>
      <c r="J568" t="inlineStr">
        <is>
          <t>https://www.shzfgjj.cn/html/newxxgk/ywsjtj/226404.html</t>
        </is>
      </c>
    </row>
    <row r="569">
      <c r="A569" t="n">
        <v>2024</v>
      </c>
      <c r="B569" t="n">
        <v>12</v>
      </c>
      <c r="C569" t="inlineStr">
        <is>
          <t>闵行</t>
        </is>
      </c>
      <c r="D569" t="n">
        <v>7.56</v>
      </c>
      <c r="E569" t="n">
        <v>63.34</v>
      </c>
      <c r="F569" t="n">
        <v>1331903.18</v>
      </c>
      <c r="G569" t="n">
        <v>786919.03</v>
      </c>
      <c r="H569" t="inlineStr">
        <is>
          <t>2024-12-31</t>
        </is>
      </c>
      <c r="I569" t="inlineStr">
        <is>
          <t>verified_original_html</t>
        </is>
      </c>
      <c r="J569" t="inlineStr">
        <is>
          <t>https://www.shzfgjj.cn/html/newxxgk/ywsjtj/226404.html</t>
        </is>
      </c>
    </row>
    <row r="570">
      <c r="A570" t="n">
        <v>2024</v>
      </c>
      <c r="B570" t="n">
        <v>12</v>
      </c>
      <c r="C570" t="inlineStr">
        <is>
          <t>宝山</t>
        </is>
      </c>
      <c r="D570" t="n">
        <v>4.1</v>
      </c>
      <c r="E570" t="n">
        <v>38.96</v>
      </c>
      <c r="F570" t="n">
        <v>902988.78</v>
      </c>
      <c r="G570" t="n">
        <v>577930.7</v>
      </c>
      <c r="H570" t="inlineStr">
        <is>
          <t>2024-12-31</t>
        </is>
      </c>
      <c r="I570" t="inlineStr">
        <is>
          <t>verified_original_html</t>
        </is>
      </c>
      <c r="J570" t="inlineStr">
        <is>
          <t>https://www.shzfgjj.cn/html/newxxgk/ywsjtj/226404.html</t>
        </is>
      </c>
    </row>
    <row r="571">
      <c r="A571" t="n">
        <v>2024</v>
      </c>
      <c r="B571" t="n">
        <v>12</v>
      </c>
      <c r="C571" t="inlineStr">
        <is>
          <t>嘉定</t>
        </is>
      </c>
      <c r="D571" t="n">
        <v>3.52</v>
      </c>
      <c r="E571" t="n">
        <v>41.48</v>
      </c>
      <c r="F571" t="n">
        <v>1004418.98</v>
      </c>
      <c r="G571" t="n">
        <v>587751.02</v>
      </c>
      <c r="H571" t="inlineStr">
        <is>
          <t>2024-12-31</t>
        </is>
      </c>
      <c r="I571" t="inlineStr">
        <is>
          <t>verified_original_html</t>
        </is>
      </c>
      <c r="J571" t="inlineStr">
        <is>
          <t>https://www.shzfgjj.cn/html/newxxgk/ywsjtj/226404.html</t>
        </is>
      </c>
    </row>
    <row r="572">
      <c r="A572" t="n">
        <v>2024</v>
      </c>
      <c r="B572" t="n">
        <v>12</v>
      </c>
      <c r="C572" t="inlineStr">
        <is>
          <t>浦东</t>
        </is>
      </c>
      <c r="D572" t="n">
        <v>10.65</v>
      </c>
      <c r="E572" t="n">
        <v>164.63</v>
      </c>
      <c r="F572" t="n">
        <v>4887946.91</v>
      </c>
      <c r="G572" t="n">
        <v>2876336.97</v>
      </c>
      <c r="H572" t="inlineStr">
        <is>
          <t>2024-12-31</t>
        </is>
      </c>
      <c r="I572" t="inlineStr">
        <is>
          <t>verified_original_html</t>
        </is>
      </c>
      <c r="J572" t="inlineStr">
        <is>
          <t>https://www.shzfgjj.cn/html/newxxgk/ywsjtj/226404.html</t>
        </is>
      </c>
    </row>
    <row r="573">
      <c r="A573" t="n">
        <v>2024</v>
      </c>
      <c r="B573" t="n">
        <v>12</v>
      </c>
      <c r="C573" t="inlineStr">
        <is>
          <t>奉贤</t>
        </is>
      </c>
      <c r="D573" t="n">
        <v>2.48</v>
      </c>
      <c r="E573" t="n">
        <v>22.72</v>
      </c>
      <c r="F573" t="n">
        <v>423306.2</v>
      </c>
      <c r="G573" t="n">
        <v>253558.32</v>
      </c>
      <c r="H573" t="inlineStr">
        <is>
          <t>2024-12-31</t>
        </is>
      </c>
      <c r="I573" t="inlineStr">
        <is>
          <t>verified_original_html</t>
        </is>
      </c>
      <c r="J573" t="inlineStr">
        <is>
          <t>https://www.shzfgjj.cn/html/newxxgk/ywsjtj/226404.html</t>
        </is>
      </c>
    </row>
    <row r="574">
      <c r="A574" t="n">
        <v>2024</v>
      </c>
      <c r="B574" t="n">
        <v>12</v>
      </c>
      <c r="C574" t="inlineStr">
        <is>
          <t>松江</t>
        </is>
      </c>
      <c r="D574" t="n">
        <v>3.83</v>
      </c>
      <c r="E574" t="n">
        <v>40.91</v>
      </c>
      <c r="F574" t="n">
        <v>726771.7</v>
      </c>
      <c r="G574" t="n">
        <v>425847.04</v>
      </c>
      <c r="H574" t="inlineStr">
        <is>
          <t>2024-12-31</t>
        </is>
      </c>
      <c r="I574" t="inlineStr">
        <is>
          <t>verified_original_html</t>
        </is>
      </c>
      <c r="J574" t="inlineStr">
        <is>
          <t>https://www.shzfgjj.cn/html/newxxgk/ywsjtj/226404.html</t>
        </is>
      </c>
    </row>
    <row r="575">
      <c r="A575" t="n">
        <v>2024</v>
      </c>
      <c r="B575" t="n">
        <v>12</v>
      </c>
      <c r="C575" t="inlineStr">
        <is>
          <t>金山</t>
        </is>
      </c>
      <c r="D575" t="n">
        <v>1.57</v>
      </c>
      <c r="E575" t="n">
        <v>19.52</v>
      </c>
      <c r="F575" t="n">
        <v>393093.2</v>
      </c>
      <c r="G575" t="n">
        <v>264111.69</v>
      </c>
      <c r="H575" t="inlineStr">
        <is>
          <t>2024-12-31</t>
        </is>
      </c>
      <c r="I575" t="inlineStr">
        <is>
          <t>verified_original_html</t>
        </is>
      </c>
      <c r="J575" t="inlineStr">
        <is>
          <t>https://www.shzfgjj.cn/html/newxxgk/ywsjtj/226404.html</t>
        </is>
      </c>
    </row>
    <row r="576">
      <c r="A576" t="n">
        <v>2024</v>
      </c>
      <c r="B576" t="n">
        <v>12</v>
      </c>
      <c r="C576" t="inlineStr">
        <is>
          <t>青浦</t>
        </is>
      </c>
      <c r="D576" t="n">
        <v>2.03</v>
      </c>
      <c r="E576" t="n">
        <v>26.17</v>
      </c>
      <c r="F576" t="n">
        <v>502613.58</v>
      </c>
      <c r="G576" t="n">
        <v>289868.61</v>
      </c>
      <c r="H576" t="inlineStr">
        <is>
          <t>2024-12-31</t>
        </is>
      </c>
      <c r="I576" t="inlineStr">
        <is>
          <t>verified_original_html</t>
        </is>
      </c>
      <c r="J576" t="inlineStr">
        <is>
          <t>https://www.shzfgjj.cn/html/newxxgk/ywsjtj/226404.html</t>
        </is>
      </c>
    </row>
    <row r="577">
      <c r="A577" t="n">
        <v>2024</v>
      </c>
      <c r="B577" t="n">
        <v>12</v>
      </c>
      <c r="C577" t="inlineStr">
        <is>
          <t>崇明</t>
        </is>
      </c>
      <c r="D577" t="n">
        <v>0.41</v>
      </c>
      <c r="E577" t="n">
        <v>7.1</v>
      </c>
      <c r="F577" t="n">
        <v>170213.58</v>
      </c>
      <c r="G577" t="n">
        <v>115866.59</v>
      </c>
      <c r="H577" t="inlineStr">
        <is>
          <t>2024-12-31</t>
        </is>
      </c>
      <c r="I577" t="inlineStr">
        <is>
          <t>verified_original_html</t>
        </is>
      </c>
      <c r="J577" t="inlineStr">
        <is>
          <t>https://www.shzfgjj.cn/html/newxxgk/ywsjtj/226404.html</t>
        </is>
      </c>
    </row>
    <row r="578">
      <c r="A578" t="n">
        <v>2025</v>
      </c>
      <c r="B578" t="n">
        <v>1</v>
      </c>
      <c r="C578" t="inlineStr">
        <is>
          <t>黄浦</t>
        </is>
      </c>
      <c r="D578" t="n">
        <v>3.59</v>
      </c>
      <c r="E578" t="n">
        <v>118.13</v>
      </c>
      <c r="F578" t="n">
        <v>454679.99</v>
      </c>
      <c r="G578" t="n">
        <v>424420.23</v>
      </c>
      <c r="H578" t="inlineStr">
        <is>
          <t>2025-01-31</t>
        </is>
      </c>
      <c r="I578" t="inlineStr">
        <is>
          <t>verified_original_html</t>
        </is>
      </c>
      <c r="J578" t="inlineStr">
        <is>
          <t>https://www.shzfgjj.cn/html/newxxgk/ywsjtj/226796.html</t>
        </is>
      </c>
    </row>
    <row r="579">
      <c r="A579" t="n">
        <v>2025</v>
      </c>
      <c r="B579" t="n">
        <v>1</v>
      </c>
      <c r="C579" t="inlineStr">
        <is>
          <t>徐汇</t>
        </is>
      </c>
      <c r="D579" t="n">
        <v>5.61</v>
      </c>
      <c r="E579" t="n">
        <v>90.37</v>
      </c>
      <c r="F579" t="n">
        <v>259026.78</v>
      </c>
      <c r="G579" t="n">
        <v>137194.76</v>
      </c>
      <c r="H579" t="inlineStr">
        <is>
          <t>2025-01-31</t>
        </is>
      </c>
      <c r="I579" t="inlineStr">
        <is>
          <t>verified_original_html</t>
        </is>
      </c>
      <c r="J579" t="inlineStr">
        <is>
          <t>https://www.shzfgjj.cn/html/newxxgk/ywsjtj/226796.html</t>
        </is>
      </c>
    </row>
    <row r="580">
      <c r="A580" t="n">
        <v>2025</v>
      </c>
      <c r="B580" t="n">
        <v>1</v>
      </c>
      <c r="C580" t="inlineStr">
        <is>
          <t>长宁</t>
        </is>
      </c>
      <c r="D580" t="n">
        <v>2.54</v>
      </c>
      <c r="E580" t="n">
        <v>51.44</v>
      </c>
      <c r="F580" t="n">
        <v>133913.77</v>
      </c>
      <c r="G580" t="n">
        <v>72347.78999999999</v>
      </c>
      <c r="H580" t="inlineStr">
        <is>
          <t>2025-01-31</t>
        </is>
      </c>
      <c r="I580" t="inlineStr">
        <is>
          <t>verified_original_html</t>
        </is>
      </c>
      <c r="J580" t="inlineStr">
        <is>
          <t>https://www.shzfgjj.cn/html/newxxgk/ywsjtj/226796.html</t>
        </is>
      </c>
    </row>
    <row r="581">
      <c r="A581" t="n">
        <v>2025</v>
      </c>
      <c r="B581" t="n">
        <v>1</v>
      </c>
      <c r="C581" t="inlineStr">
        <is>
          <t>静安</t>
        </is>
      </c>
      <c r="D581" t="n">
        <v>4</v>
      </c>
      <c r="E581" t="n">
        <v>63.28</v>
      </c>
      <c r="F581" t="n">
        <v>154222.57</v>
      </c>
      <c r="G581" t="n">
        <v>80790</v>
      </c>
      <c r="H581" t="inlineStr">
        <is>
          <t>2025-01-31</t>
        </is>
      </c>
      <c r="I581" t="inlineStr">
        <is>
          <t>verified_original_html</t>
        </is>
      </c>
      <c r="J581" t="inlineStr">
        <is>
          <t>https://www.shzfgjj.cn/html/newxxgk/ywsjtj/226796.html</t>
        </is>
      </c>
    </row>
    <row r="582">
      <c r="A582" t="n">
        <v>2025</v>
      </c>
      <c r="B582" t="n">
        <v>1</v>
      </c>
      <c r="C582" t="inlineStr">
        <is>
          <t>普陀</t>
        </is>
      </c>
      <c r="D582" t="n">
        <v>3.73</v>
      </c>
      <c r="E582" t="n">
        <v>34.36</v>
      </c>
      <c r="F582" t="n">
        <v>64763.69</v>
      </c>
      <c r="G582" t="n">
        <v>34913.07</v>
      </c>
      <c r="H582" t="inlineStr">
        <is>
          <t>2025-01-31</t>
        </is>
      </c>
      <c r="I582" t="inlineStr">
        <is>
          <t>verified_original_html</t>
        </is>
      </c>
      <c r="J582" t="inlineStr">
        <is>
          <t>https://www.shzfgjj.cn/html/newxxgk/ywsjtj/226796.html</t>
        </is>
      </c>
    </row>
    <row r="583">
      <c r="A583" t="n">
        <v>2025</v>
      </c>
      <c r="B583" t="n">
        <v>1</v>
      </c>
      <c r="C583" t="inlineStr">
        <is>
          <t>虹口</t>
        </is>
      </c>
      <c r="D583" t="n">
        <v>2.4</v>
      </c>
      <c r="E583" t="n">
        <v>28.77</v>
      </c>
      <c r="F583" t="n">
        <v>64281.57</v>
      </c>
      <c r="G583" t="n">
        <v>35235.56</v>
      </c>
      <c r="H583" t="inlineStr">
        <is>
          <t>2025-01-31</t>
        </is>
      </c>
      <c r="I583" t="inlineStr">
        <is>
          <t>verified_original_html</t>
        </is>
      </c>
      <c r="J583" t="inlineStr">
        <is>
          <t>https://www.shzfgjj.cn/html/newxxgk/ywsjtj/226796.html</t>
        </is>
      </c>
    </row>
    <row r="584">
      <c r="A584" t="n">
        <v>2025</v>
      </c>
      <c r="B584" t="n">
        <v>1</v>
      </c>
      <c r="C584" t="inlineStr">
        <is>
          <t>杨浦</t>
        </is>
      </c>
      <c r="D584" t="n">
        <v>2.56</v>
      </c>
      <c r="E584" t="n">
        <v>32.36</v>
      </c>
      <c r="F584" t="n">
        <v>81753.64999999999</v>
      </c>
      <c r="G584" t="n">
        <v>44426.75</v>
      </c>
      <c r="H584" t="inlineStr">
        <is>
          <t>2025-01-31</t>
        </is>
      </c>
      <c r="I584" t="inlineStr">
        <is>
          <t>verified_original_html</t>
        </is>
      </c>
      <c r="J584" t="inlineStr">
        <is>
          <t>https://www.shzfgjj.cn/html/newxxgk/ywsjtj/226796.html</t>
        </is>
      </c>
    </row>
    <row r="585">
      <c r="A585" t="n">
        <v>2025</v>
      </c>
      <c r="B585" t="n">
        <v>1</v>
      </c>
      <c r="C585" t="inlineStr">
        <is>
          <t>闵行</t>
        </is>
      </c>
      <c r="D585" t="n">
        <v>7.61</v>
      </c>
      <c r="E585" t="n">
        <v>63.14</v>
      </c>
      <c r="F585" t="n">
        <v>113761.88</v>
      </c>
      <c r="G585" t="n">
        <v>63018.12</v>
      </c>
      <c r="H585" t="inlineStr">
        <is>
          <t>2025-01-31</t>
        </is>
      </c>
      <c r="I585" t="inlineStr">
        <is>
          <t>verified_original_html</t>
        </is>
      </c>
      <c r="J585" t="inlineStr">
        <is>
          <t>https://www.shzfgjj.cn/html/newxxgk/ywsjtj/226796.html</t>
        </is>
      </c>
    </row>
    <row r="586">
      <c r="A586" t="n">
        <v>2025</v>
      </c>
      <c r="B586" t="n">
        <v>1</v>
      </c>
      <c r="C586" t="inlineStr">
        <is>
          <t>宝山</t>
        </is>
      </c>
      <c r="D586" t="n">
        <v>4.11</v>
      </c>
      <c r="E586" t="n">
        <v>38.69</v>
      </c>
      <c r="F586" t="n">
        <v>75184.97</v>
      </c>
      <c r="G586" t="n">
        <v>42829.85</v>
      </c>
      <c r="H586" t="inlineStr">
        <is>
          <t>2025-01-31</t>
        </is>
      </c>
      <c r="I586" t="inlineStr">
        <is>
          <t>verified_original_html</t>
        </is>
      </c>
      <c r="J586" t="inlineStr">
        <is>
          <t>https://www.shzfgjj.cn/html/newxxgk/ywsjtj/226796.html</t>
        </is>
      </c>
    </row>
    <row r="587">
      <c r="A587" t="n">
        <v>2025</v>
      </c>
      <c r="B587" t="n">
        <v>1</v>
      </c>
      <c r="C587" t="inlineStr">
        <is>
          <t>嘉定</t>
        </is>
      </c>
      <c r="D587" t="n">
        <v>3.54</v>
      </c>
      <c r="E587" t="n">
        <v>41.29</v>
      </c>
      <c r="F587" t="n">
        <v>83041.91</v>
      </c>
      <c r="G587" t="n">
        <v>43561.35</v>
      </c>
      <c r="H587" t="inlineStr">
        <is>
          <t>2025-01-31</t>
        </is>
      </c>
      <c r="I587" t="inlineStr">
        <is>
          <t>verified_original_html</t>
        </is>
      </c>
      <c r="J587" t="inlineStr">
        <is>
          <t>https://www.shzfgjj.cn/html/newxxgk/ywsjtj/226796.html</t>
        </is>
      </c>
    </row>
    <row r="588">
      <c r="A588" t="n">
        <v>2025</v>
      </c>
      <c r="B588" t="n">
        <v>1</v>
      </c>
      <c r="C588" t="inlineStr">
        <is>
          <t>浦东</t>
        </is>
      </c>
      <c r="D588" t="n">
        <v>10.66</v>
      </c>
      <c r="E588" t="n">
        <v>164.03</v>
      </c>
      <c r="F588" t="n">
        <v>411203.91</v>
      </c>
      <c r="G588" t="n">
        <v>214593.58</v>
      </c>
      <c r="H588" t="inlineStr">
        <is>
          <t>2025-01-31</t>
        </is>
      </c>
      <c r="I588" t="inlineStr">
        <is>
          <t>verified_original_html</t>
        </is>
      </c>
      <c r="J588" t="inlineStr">
        <is>
          <t>https://www.shzfgjj.cn/html/newxxgk/ywsjtj/226796.html</t>
        </is>
      </c>
    </row>
    <row r="589">
      <c r="A589" t="n">
        <v>2025</v>
      </c>
      <c r="B589" t="n">
        <v>1</v>
      </c>
      <c r="C589" t="inlineStr">
        <is>
          <t>奉贤</t>
        </is>
      </c>
      <c r="D589" t="n">
        <v>2.48</v>
      </c>
      <c r="E589" t="n">
        <v>22.74</v>
      </c>
      <c r="F589" t="n">
        <v>35709.58</v>
      </c>
      <c r="G589" t="n">
        <v>18688.45</v>
      </c>
      <c r="H589" t="inlineStr">
        <is>
          <t>2025-01-31</t>
        </is>
      </c>
      <c r="I589" t="inlineStr">
        <is>
          <t>verified_original_html</t>
        </is>
      </c>
      <c r="J589" t="inlineStr">
        <is>
          <t>https://www.shzfgjj.cn/html/newxxgk/ywsjtj/226796.html</t>
        </is>
      </c>
    </row>
    <row r="590">
      <c r="A590" t="n">
        <v>2025</v>
      </c>
      <c r="B590" t="n">
        <v>1</v>
      </c>
      <c r="C590" t="inlineStr">
        <is>
          <t>松江</t>
        </is>
      </c>
      <c r="D590" t="n">
        <v>3.84</v>
      </c>
      <c r="E590" t="n">
        <v>40.74</v>
      </c>
      <c r="F590" t="n">
        <v>60713.97</v>
      </c>
      <c r="G590" t="n">
        <v>32174.58</v>
      </c>
      <c r="H590" t="inlineStr">
        <is>
          <t>2025-01-31</t>
        </is>
      </c>
      <c r="I590" t="inlineStr">
        <is>
          <t>verified_original_html</t>
        </is>
      </c>
      <c r="J590" t="inlineStr">
        <is>
          <t>https://www.shzfgjj.cn/html/newxxgk/ywsjtj/226796.html</t>
        </is>
      </c>
    </row>
    <row r="591">
      <c r="A591" t="n">
        <v>2025</v>
      </c>
      <c r="B591" t="n">
        <v>1</v>
      </c>
      <c r="C591" t="inlineStr">
        <is>
          <t>金山</t>
        </is>
      </c>
      <c r="D591" t="n">
        <v>1.58</v>
      </c>
      <c r="E591" t="n">
        <v>19.41</v>
      </c>
      <c r="F591" t="n">
        <v>32602.67</v>
      </c>
      <c r="G591" t="n">
        <v>18734.77</v>
      </c>
      <c r="H591" t="inlineStr">
        <is>
          <t>2025-01-31</t>
        </is>
      </c>
      <c r="I591" t="inlineStr">
        <is>
          <t>verified_original_html</t>
        </is>
      </c>
      <c r="J591" t="inlineStr">
        <is>
          <t>https://www.shzfgjj.cn/html/newxxgk/ywsjtj/226796.html</t>
        </is>
      </c>
    </row>
    <row r="592">
      <c r="A592" t="n">
        <v>2025</v>
      </c>
      <c r="B592" t="n">
        <v>1</v>
      </c>
      <c r="C592" t="inlineStr">
        <is>
          <t>青浦</t>
        </is>
      </c>
      <c r="D592" t="n">
        <v>2.03</v>
      </c>
      <c r="E592" t="n">
        <v>26.13</v>
      </c>
      <c r="F592" t="n">
        <v>42788.68</v>
      </c>
      <c r="G592" t="n">
        <v>22846.41</v>
      </c>
      <c r="H592" t="inlineStr">
        <is>
          <t>2025-01-31</t>
        </is>
      </c>
      <c r="I592" t="inlineStr">
        <is>
          <t>verified_original_html</t>
        </is>
      </c>
      <c r="J592" t="inlineStr">
        <is>
          <t>https://www.shzfgjj.cn/html/newxxgk/ywsjtj/226796.html</t>
        </is>
      </c>
    </row>
    <row r="593">
      <c r="A593" t="n">
        <v>2025</v>
      </c>
      <c r="B593" t="n">
        <v>1</v>
      </c>
      <c r="C593" t="inlineStr">
        <is>
          <t>崇明</t>
        </is>
      </c>
      <c r="D593" t="n">
        <v>0.41</v>
      </c>
      <c r="E593" t="n">
        <v>7.05</v>
      </c>
      <c r="F593" t="n">
        <v>14103.5</v>
      </c>
      <c r="G593" t="n">
        <v>8043.47</v>
      </c>
      <c r="H593" t="inlineStr">
        <is>
          <t>2025-01-31</t>
        </is>
      </c>
      <c r="I593" t="inlineStr">
        <is>
          <t>verified_original_html</t>
        </is>
      </c>
      <c r="J593" t="inlineStr">
        <is>
          <t>https://www.shzfgjj.cn/html/newxxgk/ywsjtj/226796.html</t>
        </is>
      </c>
    </row>
    <row r="594">
      <c r="A594" t="n">
        <v>2025</v>
      </c>
      <c r="B594" t="n">
        <v>2</v>
      </c>
      <c r="C594" t="inlineStr">
        <is>
          <t>黄浦</t>
        </is>
      </c>
      <c r="D594" t="n">
        <v>3.6</v>
      </c>
      <c r="E594" t="n">
        <v>117.89</v>
      </c>
      <c r="F594" t="n">
        <v>901406</v>
      </c>
      <c r="G594" t="n">
        <v>826545.52</v>
      </c>
      <c r="H594" t="inlineStr">
        <is>
          <t>2025-02-28</t>
        </is>
      </c>
      <c r="I594" t="inlineStr">
        <is>
          <t>verified_original_html</t>
        </is>
      </c>
      <c r="J594" t="inlineStr">
        <is>
          <t>https://www.shzfgjj.cn/html/newxxgk/ywsjtj/227332.html</t>
        </is>
      </c>
    </row>
    <row r="595">
      <c r="A595" t="n">
        <v>2025</v>
      </c>
      <c r="B595" t="n">
        <v>2</v>
      </c>
      <c r="C595" t="inlineStr">
        <is>
          <t>徐汇</t>
        </is>
      </c>
      <c r="D595" t="n">
        <v>5.63</v>
      </c>
      <c r="E595" t="n">
        <v>90.14</v>
      </c>
      <c r="F595" t="n">
        <v>517224.56</v>
      </c>
      <c r="G595" t="n">
        <v>269774.09</v>
      </c>
      <c r="H595" t="inlineStr">
        <is>
          <t>2025-02-28</t>
        </is>
      </c>
      <c r="I595" t="inlineStr">
        <is>
          <t>verified_original_html</t>
        </is>
      </c>
      <c r="J595" t="inlineStr">
        <is>
          <t>https://www.shzfgjj.cn/html/newxxgk/ywsjtj/227332.html</t>
        </is>
      </c>
    </row>
    <row r="596">
      <c r="A596" t="n">
        <v>2025</v>
      </c>
      <c r="B596" t="n">
        <v>2</v>
      </c>
      <c r="C596" t="inlineStr">
        <is>
          <t>长宁</t>
        </is>
      </c>
      <c r="D596" t="n">
        <v>2.54</v>
      </c>
      <c r="E596" t="n">
        <v>51.28</v>
      </c>
      <c r="F596" t="n">
        <v>268463.07</v>
      </c>
      <c r="G596" t="n">
        <v>140651.35</v>
      </c>
      <c r="H596" t="inlineStr">
        <is>
          <t>2025-02-28</t>
        </is>
      </c>
      <c r="I596" t="inlineStr">
        <is>
          <t>verified_original_html</t>
        </is>
      </c>
      <c r="J596" t="inlineStr">
        <is>
          <t>https://www.shzfgjj.cn/html/newxxgk/ywsjtj/227332.html</t>
        </is>
      </c>
    </row>
    <row r="597">
      <c r="A597" t="n">
        <v>2025</v>
      </c>
      <c r="B597" t="n">
        <v>2</v>
      </c>
      <c r="C597" t="inlineStr">
        <is>
          <t>静安</t>
        </is>
      </c>
      <c r="D597" t="n">
        <v>4</v>
      </c>
      <c r="E597" t="n">
        <v>63.14</v>
      </c>
      <c r="F597" t="n">
        <v>299562.01</v>
      </c>
      <c r="G597" t="n">
        <v>158560.78</v>
      </c>
      <c r="H597" t="inlineStr">
        <is>
          <t>2025-02-28</t>
        </is>
      </c>
      <c r="I597" t="inlineStr">
        <is>
          <t>verified_original_html</t>
        </is>
      </c>
      <c r="J597" t="inlineStr">
        <is>
          <t>https://www.shzfgjj.cn/html/newxxgk/ywsjtj/227332.html</t>
        </is>
      </c>
    </row>
    <row r="598">
      <c r="A598" t="n">
        <v>2025</v>
      </c>
      <c r="B598" t="n">
        <v>2</v>
      </c>
      <c r="C598" t="inlineStr">
        <is>
          <t>普陀</t>
        </is>
      </c>
      <c r="D598" t="n">
        <v>3.73</v>
      </c>
      <c r="E598" t="n">
        <v>34.2</v>
      </c>
      <c r="F598" t="n">
        <v>128315.66</v>
      </c>
      <c r="G598" t="n">
        <v>67504.41</v>
      </c>
      <c r="H598" t="inlineStr">
        <is>
          <t>2025-02-28</t>
        </is>
      </c>
      <c r="I598" t="inlineStr">
        <is>
          <t>verified_original_html</t>
        </is>
      </c>
      <c r="J598" t="inlineStr">
        <is>
          <t>https://www.shzfgjj.cn/html/newxxgk/ywsjtj/227332.html</t>
        </is>
      </c>
    </row>
    <row r="599">
      <c r="A599" t="n">
        <v>2025</v>
      </c>
      <c r="B599" t="n">
        <v>2</v>
      </c>
      <c r="C599" t="inlineStr">
        <is>
          <t>虹口</t>
        </is>
      </c>
      <c r="D599" t="n">
        <v>2.4</v>
      </c>
      <c r="E599" t="n">
        <v>28.63</v>
      </c>
      <c r="F599" t="n">
        <v>128740.99</v>
      </c>
      <c r="G599" t="n">
        <v>68333.74000000001</v>
      </c>
      <c r="H599" t="inlineStr">
        <is>
          <t>2025-02-28</t>
        </is>
      </c>
      <c r="I599" t="inlineStr">
        <is>
          <t>verified_original_html</t>
        </is>
      </c>
      <c r="J599" t="inlineStr">
        <is>
          <t>https://www.shzfgjj.cn/html/newxxgk/ywsjtj/227332.html</t>
        </is>
      </c>
    </row>
    <row r="600">
      <c r="A600" t="n">
        <v>2025</v>
      </c>
      <c r="B600" t="n">
        <v>2</v>
      </c>
      <c r="C600" t="inlineStr">
        <is>
          <t>杨浦</t>
        </is>
      </c>
      <c r="D600" t="n">
        <v>2.57</v>
      </c>
      <c r="E600" t="n">
        <v>32.24</v>
      </c>
      <c r="F600" t="n">
        <v>163392.78</v>
      </c>
      <c r="G600" t="n">
        <v>86102.7</v>
      </c>
      <c r="H600" t="inlineStr">
        <is>
          <t>2025-02-28</t>
        </is>
      </c>
      <c r="I600" t="inlineStr">
        <is>
          <t>verified_original_html</t>
        </is>
      </c>
      <c r="J600" t="inlineStr">
        <is>
          <t>https://www.shzfgjj.cn/html/newxxgk/ywsjtj/227332.html</t>
        </is>
      </c>
    </row>
    <row r="601">
      <c r="A601" t="n">
        <v>2025</v>
      </c>
      <c r="B601" t="n">
        <v>2</v>
      </c>
      <c r="C601" t="inlineStr">
        <is>
          <t>闵行</t>
        </is>
      </c>
      <c r="D601" t="n">
        <v>7.66</v>
      </c>
      <c r="E601" t="n">
        <v>63.01</v>
      </c>
      <c r="F601" t="n">
        <v>228383.39</v>
      </c>
      <c r="G601" t="n">
        <v>120005.88</v>
      </c>
      <c r="H601" t="inlineStr">
        <is>
          <t>2025-02-28</t>
        </is>
      </c>
      <c r="I601" t="inlineStr">
        <is>
          <t>verified_original_html</t>
        </is>
      </c>
      <c r="J601" t="inlineStr">
        <is>
          <t>https://www.shzfgjj.cn/html/newxxgk/ywsjtj/227332.html</t>
        </is>
      </c>
    </row>
    <row r="602">
      <c r="A602" t="n">
        <v>2025</v>
      </c>
      <c r="B602" t="n">
        <v>2</v>
      </c>
      <c r="C602" t="inlineStr">
        <is>
          <t>宝山</t>
        </is>
      </c>
      <c r="D602" t="n">
        <v>4.13</v>
      </c>
      <c r="E602" t="n">
        <v>38.65</v>
      </c>
      <c r="F602" t="n">
        <v>149928.09</v>
      </c>
      <c r="G602" t="n">
        <v>81675.39999999999</v>
      </c>
      <c r="H602" t="inlineStr">
        <is>
          <t>2025-02-28</t>
        </is>
      </c>
      <c r="I602" t="inlineStr">
        <is>
          <t>verified_original_html</t>
        </is>
      </c>
      <c r="J602" t="inlineStr">
        <is>
          <t>https://www.shzfgjj.cn/html/newxxgk/ywsjtj/227332.html</t>
        </is>
      </c>
    </row>
    <row r="603">
      <c r="A603" t="n">
        <v>2025</v>
      </c>
      <c r="B603" t="n">
        <v>2</v>
      </c>
      <c r="C603" t="inlineStr">
        <is>
          <t>嘉定</t>
        </is>
      </c>
      <c r="D603" t="n">
        <v>3.55</v>
      </c>
      <c r="E603" t="n">
        <v>41.15</v>
      </c>
      <c r="F603" t="n">
        <v>166935.46</v>
      </c>
      <c r="G603" t="n">
        <v>85364</v>
      </c>
      <c r="H603" t="inlineStr">
        <is>
          <t>2025-02-28</t>
        </is>
      </c>
      <c r="I603" t="inlineStr">
        <is>
          <t>verified_original_html</t>
        </is>
      </c>
      <c r="J603" t="inlineStr">
        <is>
          <t>https://www.shzfgjj.cn/html/newxxgk/ywsjtj/227332.html</t>
        </is>
      </c>
    </row>
    <row r="604">
      <c r="A604" t="n">
        <v>2025</v>
      </c>
      <c r="B604" t="n">
        <v>2</v>
      </c>
      <c r="C604" t="inlineStr">
        <is>
          <t>浦东</t>
        </is>
      </c>
      <c r="D604" t="n">
        <v>10.69</v>
      </c>
      <c r="E604" t="n">
        <v>163.71</v>
      </c>
      <c r="F604" t="n">
        <v>825269.08</v>
      </c>
      <c r="G604" t="n">
        <v>425569.65</v>
      </c>
      <c r="H604" t="inlineStr">
        <is>
          <t>2025-02-28</t>
        </is>
      </c>
      <c r="I604" t="inlineStr">
        <is>
          <t>verified_original_html</t>
        </is>
      </c>
      <c r="J604" t="inlineStr">
        <is>
          <t>https://www.shzfgjj.cn/html/newxxgk/ywsjtj/227332.html</t>
        </is>
      </c>
    </row>
    <row r="605">
      <c r="A605" t="n">
        <v>2025</v>
      </c>
      <c r="B605" t="n">
        <v>2</v>
      </c>
      <c r="C605" t="inlineStr">
        <is>
          <t>奉贤</t>
        </is>
      </c>
      <c r="D605" t="n">
        <v>2.49</v>
      </c>
      <c r="E605" t="n">
        <v>22.75</v>
      </c>
      <c r="F605" t="n">
        <v>71419.99000000001</v>
      </c>
      <c r="G605" t="n">
        <v>35689.43</v>
      </c>
      <c r="H605" t="inlineStr">
        <is>
          <t>2025-02-28</t>
        </is>
      </c>
      <c r="I605" t="inlineStr">
        <is>
          <t>verified_original_html</t>
        </is>
      </c>
      <c r="J605" t="inlineStr">
        <is>
          <t>https://www.shzfgjj.cn/html/newxxgk/ywsjtj/227332.html</t>
        </is>
      </c>
    </row>
    <row r="606">
      <c r="A606" t="n">
        <v>2025</v>
      </c>
      <c r="B606" t="n">
        <v>2</v>
      </c>
      <c r="C606" t="inlineStr">
        <is>
          <t>松江</t>
        </is>
      </c>
      <c r="D606" t="n">
        <v>3.85</v>
      </c>
      <c r="E606" t="n">
        <v>40.53</v>
      </c>
      <c r="F606" t="n">
        <v>121605.72</v>
      </c>
      <c r="G606" t="n">
        <v>63196.23</v>
      </c>
      <c r="H606" t="inlineStr">
        <is>
          <t>2025-02-28</t>
        </is>
      </c>
      <c r="I606" t="inlineStr">
        <is>
          <t>verified_original_html</t>
        </is>
      </c>
      <c r="J606" t="inlineStr">
        <is>
          <t>https://www.shzfgjj.cn/html/newxxgk/ywsjtj/227332.html</t>
        </is>
      </c>
    </row>
    <row r="607">
      <c r="A607" t="n">
        <v>2025</v>
      </c>
      <c r="B607" t="n">
        <v>2</v>
      </c>
      <c r="C607" t="inlineStr">
        <is>
          <t>金山</t>
        </is>
      </c>
      <c r="D607" t="n">
        <v>1.58</v>
      </c>
      <c r="E607" t="n">
        <v>19.4</v>
      </c>
      <c r="F607" t="n">
        <v>65350.5</v>
      </c>
      <c r="G607" t="n">
        <v>34902.57</v>
      </c>
      <c r="H607" t="inlineStr">
        <is>
          <t>2025-02-28</t>
        </is>
      </c>
      <c r="I607" t="inlineStr">
        <is>
          <t>verified_original_html</t>
        </is>
      </c>
      <c r="J607" t="inlineStr">
        <is>
          <t>https://www.shzfgjj.cn/html/newxxgk/ywsjtj/227332.html</t>
        </is>
      </c>
    </row>
    <row r="608">
      <c r="A608" t="n">
        <v>2025</v>
      </c>
      <c r="B608" t="n">
        <v>2</v>
      </c>
      <c r="C608" t="inlineStr">
        <is>
          <t>青浦</t>
        </is>
      </c>
      <c r="D608" t="n">
        <v>2.04</v>
      </c>
      <c r="E608" t="n">
        <v>26.14</v>
      </c>
      <c r="F608" t="n">
        <v>85599.34</v>
      </c>
      <c r="G608" t="n">
        <v>43722.11</v>
      </c>
      <c r="H608" t="inlineStr">
        <is>
          <t>2025-02-28</t>
        </is>
      </c>
      <c r="I608" t="inlineStr">
        <is>
          <t>verified_original_html</t>
        </is>
      </c>
      <c r="J608" t="inlineStr">
        <is>
          <t>https://www.shzfgjj.cn/html/newxxgk/ywsjtj/227332.html</t>
        </is>
      </c>
    </row>
    <row r="609">
      <c r="A609" t="n">
        <v>2025</v>
      </c>
      <c r="B609" t="n">
        <v>2</v>
      </c>
      <c r="C609" t="inlineStr">
        <is>
          <t>崇明</t>
        </is>
      </c>
      <c r="D609" t="n">
        <v>0.41</v>
      </c>
      <c r="E609" t="n">
        <v>7.11</v>
      </c>
      <c r="F609" t="n">
        <v>28358.41</v>
      </c>
      <c r="G609" t="n">
        <v>15168.7</v>
      </c>
      <c r="H609" t="inlineStr">
        <is>
          <t>2025-02-28</t>
        </is>
      </c>
      <c r="I609" t="inlineStr">
        <is>
          <t>verified_original_html</t>
        </is>
      </c>
      <c r="J609" t="inlineStr">
        <is>
          <t>https://www.shzfgjj.cn/html/newxxgk/ywsjtj/227332.html</t>
        </is>
      </c>
    </row>
    <row r="610">
      <c r="A610" t="n">
        <v>2025</v>
      </c>
      <c r="B610" t="n">
        <v>3</v>
      </c>
      <c r="C610" t="inlineStr">
        <is>
          <t>黄浦</t>
        </is>
      </c>
      <c r="D610" t="n">
        <v>3.6</v>
      </c>
      <c r="E610" t="n">
        <v>117.63</v>
      </c>
      <c r="F610" t="n">
        <v>1356075.44</v>
      </c>
      <c r="G610" t="n">
        <v>1268026.2</v>
      </c>
      <c r="H610" t="inlineStr">
        <is>
          <t>2025-03-31</t>
        </is>
      </c>
      <c r="I610" t="inlineStr">
        <is>
          <t>verified_original_html</t>
        </is>
      </c>
      <c r="J610" t="inlineStr">
        <is>
          <t>https://www.shzfgjj.cn/html/newxxgk/ywsjtj/227786.html</t>
        </is>
      </c>
    </row>
    <row r="611">
      <c r="A611" t="n">
        <v>2025</v>
      </c>
      <c r="B611" t="n">
        <v>3</v>
      </c>
      <c r="C611" t="inlineStr">
        <is>
          <t>徐汇</t>
        </is>
      </c>
      <c r="D611" t="n">
        <v>5.64</v>
      </c>
      <c r="E611" t="n">
        <v>90.04000000000001</v>
      </c>
      <c r="F611" t="n">
        <v>776210.04</v>
      </c>
      <c r="G611" t="n">
        <v>413102.68</v>
      </c>
      <c r="H611" t="inlineStr">
        <is>
          <t>2025-03-31</t>
        </is>
      </c>
      <c r="I611" t="inlineStr">
        <is>
          <t>verified_original_html</t>
        </is>
      </c>
      <c r="J611" t="inlineStr">
        <is>
          <t>https://www.shzfgjj.cn/html/newxxgk/ywsjtj/227786.html</t>
        </is>
      </c>
    </row>
    <row r="612">
      <c r="A612" t="n">
        <v>2025</v>
      </c>
      <c r="B612" t="n">
        <v>3</v>
      </c>
      <c r="C612" t="inlineStr">
        <is>
          <t>长宁</t>
        </is>
      </c>
      <c r="D612" t="n">
        <v>2.54</v>
      </c>
      <c r="E612" t="n">
        <v>51.34</v>
      </c>
      <c r="F612" t="n">
        <v>403070.07</v>
      </c>
      <c r="G612" t="n">
        <v>217798.22</v>
      </c>
      <c r="H612" t="inlineStr">
        <is>
          <t>2025-03-31</t>
        </is>
      </c>
      <c r="I612" t="inlineStr">
        <is>
          <t>verified_original_html</t>
        </is>
      </c>
      <c r="J612" t="inlineStr">
        <is>
          <t>https://www.shzfgjj.cn/html/newxxgk/ywsjtj/227786.html</t>
        </is>
      </c>
    </row>
    <row r="613">
      <c r="A613" t="n">
        <v>2025</v>
      </c>
      <c r="B613" t="n">
        <v>3</v>
      </c>
      <c r="C613" t="inlineStr">
        <is>
          <t>静安</t>
        </is>
      </c>
      <c r="D613" t="n">
        <v>4.01</v>
      </c>
      <c r="E613" t="n">
        <v>63.03</v>
      </c>
      <c r="F613" t="n">
        <v>451044.72</v>
      </c>
      <c r="G613" t="n">
        <v>244417.6</v>
      </c>
      <c r="H613" t="inlineStr">
        <is>
          <t>2025-03-31</t>
        </is>
      </c>
      <c r="I613" t="inlineStr">
        <is>
          <t>verified_original_html</t>
        </is>
      </c>
      <c r="J613" t="inlineStr">
        <is>
          <t>https://www.shzfgjj.cn/html/newxxgk/ywsjtj/227786.html</t>
        </is>
      </c>
    </row>
    <row r="614">
      <c r="A614" t="n">
        <v>2025</v>
      </c>
      <c r="B614" t="n">
        <v>3</v>
      </c>
      <c r="C614" t="inlineStr">
        <is>
          <t>普陀</t>
        </is>
      </c>
      <c r="D614" t="n">
        <v>3.74</v>
      </c>
      <c r="E614" t="n">
        <v>34.28</v>
      </c>
      <c r="F614" t="n">
        <v>194148.49</v>
      </c>
      <c r="G614" t="n">
        <v>104686.75</v>
      </c>
      <c r="H614" t="inlineStr">
        <is>
          <t>2025-03-31</t>
        </is>
      </c>
      <c r="I614" t="inlineStr">
        <is>
          <t>verified_original_html</t>
        </is>
      </c>
      <c r="J614" t="inlineStr">
        <is>
          <t>https://www.shzfgjj.cn/html/newxxgk/ywsjtj/227786.html</t>
        </is>
      </c>
    </row>
    <row r="615">
      <c r="A615" t="n">
        <v>2025</v>
      </c>
      <c r="B615" t="n">
        <v>3</v>
      </c>
      <c r="C615" t="inlineStr">
        <is>
          <t>虹口</t>
        </is>
      </c>
      <c r="D615" t="n">
        <v>2.41</v>
      </c>
      <c r="E615" t="n">
        <v>28.55</v>
      </c>
      <c r="F615" t="n">
        <v>193193.76</v>
      </c>
      <c r="G615" t="n">
        <v>104058.84</v>
      </c>
      <c r="H615" t="inlineStr">
        <is>
          <t>2025-03-31</t>
        </is>
      </c>
      <c r="I615" t="inlineStr">
        <is>
          <t>verified_original_html</t>
        </is>
      </c>
      <c r="J615" t="inlineStr">
        <is>
          <t>https://www.shzfgjj.cn/html/newxxgk/ywsjtj/227786.html</t>
        </is>
      </c>
    </row>
    <row r="616">
      <c r="A616" t="n">
        <v>2025</v>
      </c>
      <c r="B616" t="n">
        <v>3</v>
      </c>
      <c r="C616" t="inlineStr">
        <is>
          <t>杨浦</t>
        </is>
      </c>
      <c r="D616" t="n">
        <v>2.57</v>
      </c>
      <c r="E616" t="n">
        <v>32.14</v>
      </c>
      <c r="F616" t="n">
        <v>245545.41</v>
      </c>
      <c r="G616" t="n">
        <v>132571.04</v>
      </c>
      <c r="H616" t="inlineStr">
        <is>
          <t>2025-03-31</t>
        </is>
      </c>
      <c r="I616" t="inlineStr">
        <is>
          <t>verified_original_html</t>
        </is>
      </c>
      <c r="J616" t="inlineStr">
        <is>
          <t>https://www.shzfgjj.cn/html/newxxgk/ywsjtj/227786.html</t>
        </is>
      </c>
    </row>
    <row r="617">
      <c r="A617" t="n">
        <v>2025</v>
      </c>
      <c r="B617" t="n">
        <v>3</v>
      </c>
      <c r="C617" t="inlineStr">
        <is>
          <t>闵行</t>
        </is>
      </c>
      <c r="D617" t="n">
        <v>7.74</v>
      </c>
      <c r="E617" t="n">
        <v>63.28</v>
      </c>
      <c r="F617" t="n">
        <v>344588.96</v>
      </c>
      <c r="G617" t="n">
        <v>187396</v>
      </c>
      <c r="H617" t="inlineStr">
        <is>
          <t>2025-03-31</t>
        </is>
      </c>
      <c r="I617" t="inlineStr">
        <is>
          <t>verified_original_html</t>
        </is>
      </c>
      <c r="J617" t="inlineStr">
        <is>
          <t>https://www.shzfgjj.cn/html/newxxgk/ywsjtj/227786.html</t>
        </is>
      </c>
    </row>
    <row r="618">
      <c r="A618" t="n">
        <v>2025</v>
      </c>
      <c r="B618" t="n">
        <v>3</v>
      </c>
      <c r="C618" t="inlineStr">
        <is>
          <t>宝山</t>
        </is>
      </c>
      <c r="D618" t="n">
        <v>4.14</v>
      </c>
      <c r="E618" t="n">
        <v>38.6</v>
      </c>
      <c r="F618" t="n">
        <v>225867.58</v>
      </c>
      <c r="G618" t="n">
        <v>125886.41</v>
      </c>
      <c r="H618" t="inlineStr">
        <is>
          <t>2025-03-31</t>
        </is>
      </c>
      <c r="I618" t="inlineStr">
        <is>
          <t>verified_original_html</t>
        </is>
      </c>
      <c r="J618" t="inlineStr">
        <is>
          <t>https://www.shzfgjj.cn/html/newxxgk/ywsjtj/227786.html</t>
        </is>
      </c>
    </row>
    <row r="619">
      <c r="A619" t="n">
        <v>2025</v>
      </c>
      <c r="B619" t="n">
        <v>3</v>
      </c>
      <c r="C619" t="inlineStr">
        <is>
          <t>嘉定</t>
        </is>
      </c>
      <c r="D619" t="n">
        <v>3.56</v>
      </c>
      <c r="E619" t="n">
        <v>40.84</v>
      </c>
      <c r="F619" t="n">
        <v>249419.26</v>
      </c>
      <c r="G619" t="n">
        <v>130558.1</v>
      </c>
      <c r="H619" t="inlineStr">
        <is>
          <t>2025-03-31</t>
        </is>
      </c>
      <c r="I619" t="inlineStr">
        <is>
          <t>verified_original_html</t>
        </is>
      </c>
      <c r="J619" t="inlineStr">
        <is>
          <t>https://www.shzfgjj.cn/html/newxxgk/ywsjtj/227786.html</t>
        </is>
      </c>
    </row>
    <row r="620">
      <c r="A620" t="n">
        <v>2025</v>
      </c>
      <c r="B620" t="n">
        <v>3</v>
      </c>
      <c r="C620" t="inlineStr">
        <is>
          <t>浦东</t>
        </is>
      </c>
      <c r="D620" t="n">
        <v>10.71</v>
      </c>
      <c r="E620" t="n">
        <v>163.57</v>
      </c>
      <c r="F620" t="n">
        <v>1238938.05</v>
      </c>
      <c r="G620" t="n">
        <v>654002.08</v>
      </c>
      <c r="H620" t="inlineStr">
        <is>
          <t>2025-03-31</t>
        </is>
      </c>
      <c r="I620" t="inlineStr">
        <is>
          <t>verified_original_html</t>
        </is>
      </c>
      <c r="J620" t="inlineStr">
        <is>
          <t>https://www.shzfgjj.cn/html/newxxgk/ywsjtj/227786.html</t>
        </is>
      </c>
    </row>
    <row r="621">
      <c r="A621" t="n">
        <v>2025</v>
      </c>
      <c r="B621" t="n">
        <v>3</v>
      </c>
      <c r="C621" t="inlineStr">
        <is>
          <t>奉贤</t>
        </is>
      </c>
      <c r="D621" t="n">
        <v>2.51</v>
      </c>
      <c r="E621" t="n">
        <v>22.8</v>
      </c>
      <c r="F621" t="n">
        <v>107904.71</v>
      </c>
      <c r="G621" t="n">
        <v>54818.25</v>
      </c>
      <c r="H621" t="inlineStr">
        <is>
          <t>2025-03-31</t>
        </is>
      </c>
      <c r="I621" t="inlineStr">
        <is>
          <t>verified_original_html</t>
        </is>
      </c>
      <c r="J621" t="inlineStr">
        <is>
          <t>https://www.shzfgjj.cn/html/newxxgk/ywsjtj/227786.html</t>
        </is>
      </c>
    </row>
    <row r="622">
      <c r="A622" t="n">
        <v>2025</v>
      </c>
      <c r="B622" t="n">
        <v>3</v>
      </c>
      <c r="C622" t="inlineStr">
        <is>
          <t>松江</t>
        </is>
      </c>
      <c r="D622" t="n">
        <v>3.86</v>
      </c>
      <c r="E622" t="n">
        <v>40.51</v>
      </c>
      <c r="F622" t="n">
        <v>183042.07</v>
      </c>
      <c r="G622" t="n">
        <v>97662.13</v>
      </c>
      <c r="H622" t="inlineStr">
        <is>
          <t>2025-03-31</t>
        </is>
      </c>
      <c r="I622" t="inlineStr">
        <is>
          <t>verified_original_html</t>
        </is>
      </c>
      <c r="J622" t="inlineStr">
        <is>
          <t>https://www.shzfgjj.cn/html/newxxgk/ywsjtj/227786.html</t>
        </is>
      </c>
    </row>
    <row r="623">
      <c r="A623" t="n">
        <v>2025</v>
      </c>
      <c r="B623" t="n">
        <v>3</v>
      </c>
      <c r="C623" t="inlineStr">
        <is>
          <t>金山</t>
        </is>
      </c>
      <c r="D623" t="n">
        <v>1.58</v>
      </c>
      <c r="E623" t="n">
        <v>19.35</v>
      </c>
      <c r="F623" t="n">
        <v>98000.24000000001</v>
      </c>
      <c r="G623" t="n">
        <v>53941.55</v>
      </c>
      <c r="H623" t="inlineStr">
        <is>
          <t>2025-03-31</t>
        </is>
      </c>
      <c r="I623" t="inlineStr">
        <is>
          <t>verified_original_html</t>
        </is>
      </c>
      <c r="J623" t="inlineStr">
        <is>
          <t>https://www.shzfgjj.cn/html/newxxgk/ywsjtj/227786.html</t>
        </is>
      </c>
    </row>
    <row r="624">
      <c r="A624" t="n">
        <v>2025</v>
      </c>
      <c r="B624" t="n">
        <v>3</v>
      </c>
      <c r="C624" t="inlineStr">
        <is>
          <t>青浦</t>
        </is>
      </c>
      <c r="D624" t="n">
        <v>2.05</v>
      </c>
      <c r="E624" t="n">
        <v>26.17</v>
      </c>
      <c r="F624" t="n">
        <v>129176.99</v>
      </c>
      <c r="G624" t="n">
        <v>67130.3</v>
      </c>
      <c r="H624" t="inlineStr">
        <is>
          <t>2025-03-31</t>
        </is>
      </c>
      <c r="I624" t="inlineStr">
        <is>
          <t>verified_original_html</t>
        </is>
      </c>
      <c r="J624" t="inlineStr">
        <is>
          <t>https://www.shzfgjj.cn/html/newxxgk/ywsjtj/227786.html</t>
        </is>
      </c>
    </row>
    <row r="625">
      <c r="A625" t="n">
        <v>2025</v>
      </c>
      <c r="B625" t="n">
        <v>3</v>
      </c>
      <c r="C625" t="inlineStr">
        <is>
          <t>崇明</t>
        </is>
      </c>
      <c r="D625" t="n">
        <v>0.41</v>
      </c>
      <c r="E625" t="n">
        <v>7.16</v>
      </c>
      <c r="F625" t="n">
        <v>42696.38</v>
      </c>
      <c r="G625" t="n">
        <v>23336.15</v>
      </c>
      <c r="H625" t="inlineStr">
        <is>
          <t>2025-03-31</t>
        </is>
      </c>
      <c r="I625" t="inlineStr">
        <is>
          <t>verified_original_html</t>
        </is>
      </c>
      <c r="J625" t="inlineStr">
        <is>
          <t>https://www.shzfgjj.cn/html/newxxgk/ywsjtj/227786.html</t>
        </is>
      </c>
    </row>
    <row r="626">
      <c r="A626" t="n">
        <v>2025</v>
      </c>
      <c r="B626" t="n">
        <v>4</v>
      </c>
      <c r="C626" t="inlineStr">
        <is>
          <t>黄浦</t>
        </is>
      </c>
      <c r="D626" t="n">
        <v>3.61</v>
      </c>
      <c r="E626" t="n">
        <v>117.37</v>
      </c>
      <c r="F626" t="n">
        <v>1812209.97</v>
      </c>
      <c r="G626" t="n">
        <v>2009951.62</v>
      </c>
      <c r="H626" t="inlineStr">
        <is>
          <t>2025-04-30</t>
        </is>
      </c>
      <c r="I626" t="inlineStr">
        <is>
          <t>verified_original_html</t>
        </is>
      </c>
      <c r="J626" t="inlineStr">
        <is>
          <t>https://www.shzfgjj.cn/html/newxxgk/ywsjtj/227945.html</t>
        </is>
      </c>
    </row>
    <row r="627">
      <c r="A627" t="n">
        <v>2025</v>
      </c>
      <c r="B627" t="n">
        <v>4</v>
      </c>
      <c r="C627" t="inlineStr">
        <is>
          <t>徐汇</t>
        </is>
      </c>
      <c r="D627" t="n">
        <v>5.65</v>
      </c>
      <c r="E627" t="n">
        <v>90.01000000000001</v>
      </c>
      <c r="F627" t="n">
        <v>1035750.94</v>
      </c>
      <c r="G627" t="n">
        <v>697323.67</v>
      </c>
      <c r="H627" t="inlineStr">
        <is>
          <t>2025-04-30</t>
        </is>
      </c>
      <c r="I627" t="inlineStr">
        <is>
          <t>verified_original_html</t>
        </is>
      </c>
      <c r="J627" t="inlineStr">
        <is>
          <t>https://www.shzfgjj.cn/html/newxxgk/ywsjtj/227945.html</t>
        </is>
      </c>
    </row>
    <row r="628">
      <c r="A628" t="n">
        <v>2025</v>
      </c>
      <c r="B628" t="n">
        <v>4</v>
      </c>
      <c r="C628" t="inlineStr">
        <is>
          <t>长宁</t>
        </is>
      </c>
      <c r="D628" t="n">
        <v>2.54</v>
      </c>
      <c r="E628" t="n">
        <v>51.38</v>
      </c>
      <c r="F628" t="n">
        <v>538434.14</v>
      </c>
      <c r="G628" t="n">
        <v>363430.46</v>
      </c>
      <c r="H628" t="inlineStr">
        <is>
          <t>2025-04-30</t>
        </is>
      </c>
      <c r="I628" t="inlineStr">
        <is>
          <t>verified_original_html</t>
        </is>
      </c>
      <c r="J628" t="inlineStr">
        <is>
          <t>https://www.shzfgjj.cn/html/newxxgk/ywsjtj/227945.html</t>
        </is>
      </c>
    </row>
    <row r="629">
      <c r="A629" t="n">
        <v>2025</v>
      </c>
      <c r="B629" t="n">
        <v>4</v>
      </c>
      <c r="C629" t="inlineStr">
        <is>
          <t>静安</t>
        </is>
      </c>
      <c r="D629" t="n">
        <v>4.02</v>
      </c>
      <c r="E629" t="n">
        <v>62.89</v>
      </c>
      <c r="F629" t="n">
        <v>600668.02</v>
      </c>
      <c r="G629" t="n">
        <v>407396.42</v>
      </c>
      <c r="H629" t="inlineStr">
        <is>
          <t>2025-04-30</t>
        </is>
      </c>
      <c r="I629" t="inlineStr">
        <is>
          <t>verified_original_html</t>
        </is>
      </c>
      <c r="J629" t="inlineStr">
        <is>
          <t>https://www.shzfgjj.cn/html/newxxgk/ywsjtj/227945.html</t>
        </is>
      </c>
    </row>
    <row r="630">
      <c r="A630" t="n">
        <v>2025</v>
      </c>
      <c r="B630" t="n">
        <v>4</v>
      </c>
      <c r="C630" t="inlineStr">
        <is>
          <t>普陀</t>
        </is>
      </c>
      <c r="D630" t="n">
        <v>3.75</v>
      </c>
      <c r="E630" t="n">
        <v>34.26</v>
      </c>
      <c r="F630" t="n">
        <v>259286.94</v>
      </c>
      <c r="G630" t="n">
        <v>176799.48</v>
      </c>
      <c r="H630" t="inlineStr">
        <is>
          <t>2025-04-30</t>
        </is>
      </c>
      <c r="I630" t="inlineStr">
        <is>
          <t>verified_original_html</t>
        </is>
      </c>
      <c r="J630" t="inlineStr">
        <is>
          <t>https://www.shzfgjj.cn/html/newxxgk/ywsjtj/227945.html</t>
        </is>
      </c>
    </row>
    <row r="631">
      <c r="A631" t="n">
        <v>2025</v>
      </c>
      <c r="B631" t="n">
        <v>4</v>
      </c>
      <c r="C631" t="inlineStr">
        <is>
          <t>虹口</t>
        </is>
      </c>
      <c r="D631" t="n">
        <v>2.4</v>
      </c>
      <c r="E631" t="n">
        <v>28.45</v>
      </c>
      <c r="F631" t="n">
        <v>257129.87</v>
      </c>
      <c r="G631" t="n">
        <v>179411.34</v>
      </c>
      <c r="H631" t="inlineStr">
        <is>
          <t>2025-04-30</t>
        </is>
      </c>
      <c r="I631" t="inlineStr">
        <is>
          <t>verified_original_html</t>
        </is>
      </c>
      <c r="J631" t="inlineStr">
        <is>
          <t>https://www.shzfgjj.cn/html/newxxgk/ywsjtj/227945.html</t>
        </is>
      </c>
    </row>
    <row r="632">
      <c r="A632" t="n">
        <v>2025</v>
      </c>
      <c r="B632" t="n">
        <v>4</v>
      </c>
      <c r="C632" t="inlineStr">
        <is>
          <t>杨浦</t>
        </is>
      </c>
      <c r="D632" t="n">
        <v>2.57</v>
      </c>
      <c r="E632" t="n">
        <v>32.13</v>
      </c>
      <c r="F632" t="n">
        <v>326693.16</v>
      </c>
      <c r="G632" t="n">
        <v>223570.06</v>
      </c>
      <c r="H632" t="inlineStr">
        <is>
          <t>2025-04-30</t>
        </is>
      </c>
      <c r="I632" t="inlineStr">
        <is>
          <t>verified_original_html</t>
        </is>
      </c>
      <c r="J632" t="inlineStr">
        <is>
          <t>https://www.shzfgjj.cn/html/newxxgk/ywsjtj/227945.html</t>
        </is>
      </c>
    </row>
    <row r="633">
      <c r="A633" t="n">
        <v>2025</v>
      </c>
      <c r="B633" t="n">
        <v>4</v>
      </c>
      <c r="C633" t="inlineStr">
        <is>
          <t>闵行</t>
        </is>
      </c>
      <c r="D633" t="n">
        <v>7.81</v>
      </c>
      <c r="E633" t="n">
        <v>63.47</v>
      </c>
      <c r="F633" t="n">
        <v>459436.02</v>
      </c>
      <c r="G633" t="n">
        <v>316558.22</v>
      </c>
      <c r="H633" t="inlineStr">
        <is>
          <t>2025-04-30</t>
        </is>
      </c>
      <c r="I633" t="inlineStr">
        <is>
          <t>verified_original_html</t>
        </is>
      </c>
      <c r="J633" t="inlineStr">
        <is>
          <t>https://www.shzfgjj.cn/html/newxxgk/ywsjtj/227945.html</t>
        </is>
      </c>
    </row>
    <row r="634">
      <c r="A634" t="n">
        <v>2025</v>
      </c>
      <c r="B634" t="n">
        <v>4</v>
      </c>
      <c r="C634" t="inlineStr">
        <is>
          <t>宝山</t>
        </is>
      </c>
      <c r="D634" t="n">
        <v>4.16</v>
      </c>
      <c r="E634" t="n">
        <v>38.57</v>
      </c>
      <c r="F634" t="n">
        <v>301103.73</v>
      </c>
      <c r="G634" t="n">
        <v>219311.9</v>
      </c>
      <c r="H634" t="inlineStr">
        <is>
          <t>2025-04-30</t>
        </is>
      </c>
      <c r="I634" t="inlineStr">
        <is>
          <t>verified_original_html</t>
        </is>
      </c>
      <c r="J634" t="inlineStr">
        <is>
          <t>https://www.shzfgjj.cn/html/newxxgk/ywsjtj/227945.html</t>
        </is>
      </c>
    </row>
    <row r="635">
      <c r="A635" t="n">
        <v>2025</v>
      </c>
      <c r="B635" t="n">
        <v>4</v>
      </c>
      <c r="C635" t="inlineStr">
        <is>
          <t>嘉定</t>
        </is>
      </c>
      <c r="D635" t="n">
        <v>3.57</v>
      </c>
      <c r="E635" t="n">
        <v>41.07</v>
      </c>
      <c r="F635" t="n">
        <v>331612.09</v>
      </c>
      <c r="G635" t="n">
        <v>227617.58</v>
      </c>
      <c r="H635" t="inlineStr">
        <is>
          <t>2025-04-30</t>
        </is>
      </c>
      <c r="I635" t="inlineStr">
        <is>
          <t>verified_original_html</t>
        </is>
      </c>
      <c r="J635" t="inlineStr">
        <is>
          <t>https://www.shzfgjj.cn/html/newxxgk/ywsjtj/227945.html</t>
        </is>
      </c>
    </row>
    <row r="636">
      <c r="A636" t="n">
        <v>2025</v>
      </c>
      <c r="B636" t="n">
        <v>4</v>
      </c>
      <c r="C636" t="inlineStr">
        <is>
          <t>浦东</t>
        </is>
      </c>
      <c r="D636" t="n">
        <v>10.75</v>
      </c>
      <c r="E636" t="n">
        <v>163.36</v>
      </c>
      <c r="F636" t="n">
        <v>1651842.49</v>
      </c>
      <c r="G636" t="n">
        <v>1104472.71</v>
      </c>
      <c r="H636" t="inlineStr">
        <is>
          <t>2025-04-30</t>
        </is>
      </c>
      <c r="I636" t="inlineStr">
        <is>
          <t>verified_original_html</t>
        </is>
      </c>
      <c r="J636" t="inlineStr">
        <is>
          <t>https://www.shzfgjj.cn/html/newxxgk/ywsjtj/227945.html</t>
        </is>
      </c>
    </row>
    <row r="637">
      <c r="A637" t="n">
        <v>2025</v>
      </c>
      <c r="B637" t="n">
        <v>4</v>
      </c>
      <c r="C637" t="inlineStr">
        <is>
          <t>奉贤</t>
        </is>
      </c>
      <c r="D637" t="n">
        <v>2.52</v>
      </c>
      <c r="E637" t="n">
        <v>22.8</v>
      </c>
      <c r="F637" t="n">
        <v>143996.24</v>
      </c>
      <c r="G637" t="n">
        <v>99815.97</v>
      </c>
      <c r="H637" t="inlineStr">
        <is>
          <t>2025-04-30</t>
        </is>
      </c>
      <c r="I637" t="inlineStr">
        <is>
          <t>verified_original_html</t>
        </is>
      </c>
      <c r="J637" t="inlineStr">
        <is>
          <t>https://www.shzfgjj.cn/html/newxxgk/ywsjtj/227945.html</t>
        </is>
      </c>
    </row>
    <row r="638">
      <c r="A638" t="n">
        <v>2025</v>
      </c>
      <c r="B638" t="n">
        <v>4</v>
      </c>
      <c r="C638" t="inlineStr">
        <is>
          <t>松江</t>
        </is>
      </c>
      <c r="D638" t="n">
        <v>3.87</v>
      </c>
      <c r="E638" t="n">
        <v>40.51</v>
      </c>
      <c r="F638" t="n">
        <v>244005.5</v>
      </c>
      <c r="G638" t="n">
        <v>166065.95</v>
      </c>
      <c r="H638" t="inlineStr">
        <is>
          <t>2025-04-30</t>
        </is>
      </c>
      <c r="I638" t="inlineStr">
        <is>
          <t>verified_original_html</t>
        </is>
      </c>
      <c r="J638" t="inlineStr">
        <is>
          <t>https://www.shzfgjj.cn/html/newxxgk/ywsjtj/227945.html</t>
        </is>
      </c>
    </row>
    <row r="639">
      <c r="A639" t="n">
        <v>2025</v>
      </c>
      <c r="B639" t="n">
        <v>4</v>
      </c>
      <c r="C639" t="inlineStr">
        <is>
          <t>金山</t>
        </is>
      </c>
      <c r="D639" t="n">
        <v>1.59</v>
      </c>
      <c r="E639" t="n">
        <v>19.32</v>
      </c>
      <c r="F639" t="n">
        <v>130762.83</v>
      </c>
      <c r="G639" t="n">
        <v>101150.59</v>
      </c>
      <c r="H639" t="inlineStr">
        <is>
          <t>2025-04-30</t>
        </is>
      </c>
      <c r="I639" t="inlineStr">
        <is>
          <t>verified_original_html</t>
        </is>
      </c>
      <c r="J639" t="inlineStr">
        <is>
          <t>https://www.shzfgjj.cn/html/newxxgk/ywsjtj/227945.html</t>
        </is>
      </c>
    </row>
    <row r="640">
      <c r="A640" t="n">
        <v>2025</v>
      </c>
      <c r="B640" t="n">
        <v>4</v>
      </c>
      <c r="C640" t="inlineStr">
        <is>
          <t>青浦</t>
        </is>
      </c>
      <c r="D640" t="n">
        <v>2.06</v>
      </c>
      <c r="E640" t="n">
        <v>26.24</v>
      </c>
      <c r="F640" t="n">
        <v>172373.75</v>
      </c>
      <c r="G640" t="n">
        <v>115462.45</v>
      </c>
      <c r="H640" t="inlineStr">
        <is>
          <t>2025-04-30</t>
        </is>
      </c>
      <c r="I640" t="inlineStr">
        <is>
          <t>verified_original_html</t>
        </is>
      </c>
      <c r="J640" t="inlineStr">
        <is>
          <t>https://www.shzfgjj.cn/html/newxxgk/ywsjtj/227945.html</t>
        </is>
      </c>
    </row>
    <row r="641">
      <c r="A641" t="n">
        <v>2025</v>
      </c>
      <c r="B641" t="n">
        <v>4</v>
      </c>
      <c r="C641" t="inlineStr">
        <is>
          <t>崇明</t>
        </is>
      </c>
      <c r="D641" t="n">
        <v>0.41</v>
      </c>
      <c r="E641" t="n">
        <v>7.2</v>
      </c>
      <c r="F641" t="n">
        <v>57007.11</v>
      </c>
      <c r="G641" t="n">
        <v>43117.75</v>
      </c>
      <c r="H641" t="inlineStr">
        <is>
          <t>2025-04-30</t>
        </is>
      </c>
      <c r="I641" t="inlineStr">
        <is>
          <t>verified_original_html</t>
        </is>
      </c>
      <c r="J641" t="inlineStr">
        <is>
          <t>https://www.shzfgjj.cn/html/newxxgk/ywsjtj/227945.html</t>
        </is>
      </c>
    </row>
    <row r="642">
      <c r="A642" t="n">
        <v>2025</v>
      </c>
      <c r="B642" t="n">
        <v>5</v>
      </c>
      <c r="C642" t="inlineStr">
        <is>
          <t>黄浦</t>
        </is>
      </c>
      <c r="D642" t="n">
        <v>3.6</v>
      </c>
      <c r="E642" t="n">
        <v>117.54</v>
      </c>
      <c r="F642" t="n">
        <v>2252769.21</v>
      </c>
      <c r="G642" t="n">
        <v>2414577.68</v>
      </c>
      <c r="H642" t="inlineStr">
        <is>
          <t>2025-05-31</t>
        </is>
      </c>
      <c r="I642" t="inlineStr">
        <is>
          <t>verified_original_html</t>
        </is>
      </c>
      <c r="J642" t="inlineStr">
        <is>
          <t>https://www.shzfgjj.cn/html/newxxgk/ywsjtj/227993.html</t>
        </is>
      </c>
    </row>
    <row r="643">
      <c r="A643" t="n">
        <v>2025</v>
      </c>
      <c r="B643" t="n">
        <v>5</v>
      </c>
      <c r="C643" t="inlineStr">
        <is>
          <t>徐汇</t>
        </is>
      </c>
      <c r="D643" t="n">
        <v>5.67</v>
      </c>
      <c r="E643" t="n">
        <v>89.95999999999999</v>
      </c>
      <c r="F643" t="n">
        <v>1290585.63</v>
      </c>
      <c r="G643" t="n">
        <v>835403.84</v>
      </c>
      <c r="H643" t="inlineStr">
        <is>
          <t>2025-05-31</t>
        </is>
      </c>
      <c r="I643" t="inlineStr">
        <is>
          <t>verified_original_html</t>
        </is>
      </c>
      <c r="J643" t="inlineStr">
        <is>
          <t>https://www.shzfgjj.cn/html/newxxgk/ywsjtj/227993.html</t>
        </is>
      </c>
    </row>
    <row r="644">
      <c r="A644" t="n">
        <v>2025</v>
      </c>
      <c r="B644" t="n">
        <v>5</v>
      </c>
      <c r="C644" t="inlineStr">
        <is>
          <t>长宁</t>
        </is>
      </c>
      <c r="D644" t="n">
        <v>2.54</v>
      </c>
      <c r="E644" t="n">
        <v>51.2</v>
      </c>
      <c r="F644" t="n">
        <v>671444.95</v>
      </c>
      <c r="G644" t="n">
        <v>436201.57</v>
      </c>
      <c r="H644" t="inlineStr">
        <is>
          <t>2025-05-31</t>
        </is>
      </c>
      <c r="I644" t="inlineStr">
        <is>
          <t>verified_original_html</t>
        </is>
      </c>
      <c r="J644" t="inlineStr">
        <is>
          <t>https://www.shzfgjj.cn/html/newxxgk/ywsjtj/227993.html</t>
        </is>
      </c>
    </row>
    <row r="645">
      <c r="A645" t="n">
        <v>2025</v>
      </c>
      <c r="B645" t="n">
        <v>5</v>
      </c>
      <c r="C645" t="inlineStr">
        <is>
          <t>静安</t>
        </is>
      </c>
      <c r="D645" t="n">
        <v>4.04</v>
      </c>
      <c r="E645" t="n">
        <v>62.26</v>
      </c>
      <c r="F645" t="n">
        <v>749190.37</v>
      </c>
      <c r="G645" t="n">
        <v>488212.6</v>
      </c>
      <c r="H645" t="inlineStr">
        <is>
          <t>2025-05-31</t>
        </is>
      </c>
      <c r="I645" t="inlineStr">
        <is>
          <t>verified_original_html</t>
        </is>
      </c>
      <c r="J645" t="inlineStr">
        <is>
          <t>https://www.shzfgjj.cn/html/newxxgk/ywsjtj/227993.html</t>
        </is>
      </c>
    </row>
    <row r="646">
      <c r="A646" t="n">
        <v>2025</v>
      </c>
      <c r="B646" t="n">
        <v>5</v>
      </c>
      <c r="C646" t="inlineStr">
        <is>
          <t>普陀</t>
        </is>
      </c>
      <c r="D646" t="n">
        <v>3.76</v>
      </c>
      <c r="E646" t="n">
        <v>34.21</v>
      </c>
      <c r="F646" t="n">
        <v>322755.7</v>
      </c>
      <c r="G646" t="n">
        <v>212886.78</v>
      </c>
      <c r="H646" t="inlineStr">
        <is>
          <t>2025-05-31</t>
        </is>
      </c>
      <c r="I646" t="inlineStr">
        <is>
          <t>verified_original_html</t>
        </is>
      </c>
      <c r="J646" t="inlineStr">
        <is>
          <t>https://www.shzfgjj.cn/html/newxxgk/ywsjtj/227993.html</t>
        </is>
      </c>
    </row>
    <row r="647">
      <c r="A647" t="n">
        <v>2025</v>
      </c>
      <c r="B647" t="n">
        <v>5</v>
      </c>
      <c r="C647" t="inlineStr">
        <is>
          <t>虹口</t>
        </is>
      </c>
      <c r="D647" t="n">
        <v>2.41</v>
      </c>
      <c r="E647" t="n">
        <v>28.49</v>
      </c>
      <c r="F647" t="n">
        <v>320959.42</v>
      </c>
      <c r="G647" t="n">
        <v>213772.87</v>
      </c>
      <c r="H647" t="inlineStr">
        <is>
          <t>2025-05-31</t>
        </is>
      </c>
      <c r="I647" t="inlineStr">
        <is>
          <t>verified_original_html</t>
        </is>
      </c>
      <c r="J647" t="inlineStr">
        <is>
          <t>https://www.shzfgjj.cn/html/newxxgk/ywsjtj/227993.html</t>
        </is>
      </c>
    </row>
    <row r="648">
      <c r="A648" t="n">
        <v>2025</v>
      </c>
      <c r="B648" t="n">
        <v>5</v>
      </c>
      <c r="C648" t="inlineStr">
        <is>
          <t>杨浦</t>
        </is>
      </c>
      <c r="D648" t="n">
        <v>2.58</v>
      </c>
      <c r="E648" t="n">
        <v>32.11</v>
      </c>
      <c r="F648" t="n">
        <v>408409.77</v>
      </c>
      <c r="G648" t="n">
        <v>267773.24</v>
      </c>
      <c r="H648" t="inlineStr">
        <is>
          <t>2025-05-31</t>
        </is>
      </c>
      <c r="I648" t="inlineStr">
        <is>
          <t>verified_original_html</t>
        </is>
      </c>
      <c r="J648" t="inlineStr">
        <is>
          <t>https://www.shzfgjj.cn/html/newxxgk/ywsjtj/227993.html</t>
        </is>
      </c>
    </row>
    <row r="649">
      <c r="A649" t="n">
        <v>2025</v>
      </c>
      <c r="B649" t="n">
        <v>5</v>
      </c>
      <c r="C649" t="inlineStr">
        <is>
          <t>闵行</t>
        </is>
      </c>
      <c r="D649" t="n">
        <v>7.88</v>
      </c>
      <c r="E649" t="n">
        <v>63.59</v>
      </c>
      <c r="F649" t="n">
        <v>574018.15</v>
      </c>
      <c r="G649" t="n">
        <v>380124.64</v>
      </c>
      <c r="H649" t="inlineStr">
        <is>
          <t>2025-05-31</t>
        </is>
      </c>
      <c r="I649" t="inlineStr">
        <is>
          <t>verified_original_html</t>
        </is>
      </c>
      <c r="J649" t="inlineStr">
        <is>
          <t>https://www.shzfgjj.cn/html/newxxgk/ywsjtj/227993.html</t>
        </is>
      </c>
    </row>
    <row r="650">
      <c r="A650" t="n">
        <v>2025</v>
      </c>
      <c r="B650" t="n">
        <v>5</v>
      </c>
      <c r="C650" t="inlineStr">
        <is>
          <t>宝山</t>
        </is>
      </c>
      <c r="D650" t="n">
        <v>4.17</v>
      </c>
      <c r="E650" t="n">
        <v>38.53</v>
      </c>
      <c r="F650" t="n">
        <v>375784.75</v>
      </c>
      <c r="G650" t="n">
        <v>262480.36</v>
      </c>
      <c r="H650" t="inlineStr">
        <is>
          <t>2025-05-31</t>
        </is>
      </c>
      <c r="I650" t="inlineStr">
        <is>
          <t>verified_original_html</t>
        </is>
      </c>
      <c r="J650" t="inlineStr">
        <is>
          <t>https://www.shzfgjj.cn/html/newxxgk/ywsjtj/227993.html</t>
        </is>
      </c>
    </row>
    <row r="651">
      <c r="A651" t="n">
        <v>2025</v>
      </c>
      <c r="B651" t="n">
        <v>5</v>
      </c>
      <c r="C651" t="inlineStr">
        <is>
          <t>嘉定</t>
        </is>
      </c>
      <c r="D651" t="n">
        <v>3.59</v>
      </c>
      <c r="E651" t="n">
        <v>41.37</v>
      </c>
      <c r="F651" t="n">
        <v>414054.34</v>
      </c>
      <c r="G651" t="n">
        <v>272442.18</v>
      </c>
      <c r="H651" t="inlineStr">
        <is>
          <t>2025-05-31</t>
        </is>
      </c>
      <c r="I651" t="inlineStr">
        <is>
          <t>verified_original_html</t>
        </is>
      </c>
      <c r="J651" t="inlineStr">
        <is>
          <t>https://www.shzfgjj.cn/html/newxxgk/ywsjtj/227993.html</t>
        </is>
      </c>
    </row>
    <row r="652">
      <c r="A652" t="n">
        <v>2025</v>
      </c>
      <c r="B652" t="n">
        <v>5</v>
      </c>
      <c r="C652" t="inlineStr">
        <is>
          <t>浦东</t>
        </is>
      </c>
      <c r="D652" t="n">
        <v>10.78</v>
      </c>
      <c r="E652" t="n">
        <v>163.12</v>
      </c>
      <c r="F652" t="n">
        <v>2059947</v>
      </c>
      <c r="G652" t="n">
        <v>1325144.89</v>
      </c>
      <c r="H652" t="inlineStr">
        <is>
          <t>2025-05-31</t>
        </is>
      </c>
      <c r="I652" t="inlineStr">
        <is>
          <t>verified_original_html</t>
        </is>
      </c>
      <c r="J652" t="inlineStr">
        <is>
          <t>https://www.shzfgjj.cn/html/newxxgk/ywsjtj/227993.html</t>
        </is>
      </c>
    </row>
    <row r="653">
      <c r="A653" t="n">
        <v>2025</v>
      </c>
      <c r="B653" t="n">
        <v>5</v>
      </c>
      <c r="C653" t="inlineStr">
        <is>
          <t>奉贤</t>
        </is>
      </c>
      <c r="D653" t="n">
        <v>2.53</v>
      </c>
      <c r="E653" t="n">
        <v>22.77</v>
      </c>
      <c r="F653" t="n">
        <v>179706.93</v>
      </c>
      <c r="G653" t="n">
        <v>117838</v>
      </c>
      <c r="H653" t="inlineStr">
        <is>
          <t>2025-05-31</t>
        </is>
      </c>
      <c r="I653" t="inlineStr">
        <is>
          <t>verified_original_html</t>
        </is>
      </c>
      <c r="J653" t="inlineStr">
        <is>
          <t>https://www.shzfgjj.cn/html/newxxgk/ywsjtj/227993.html</t>
        </is>
      </c>
    </row>
    <row r="654">
      <c r="A654" t="n">
        <v>2025</v>
      </c>
      <c r="B654" t="n">
        <v>5</v>
      </c>
      <c r="C654" t="inlineStr">
        <is>
          <t>松江</t>
        </is>
      </c>
      <c r="D654" t="n">
        <v>3.89</v>
      </c>
      <c r="E654" t="n">
        <v>40.6</v>
      </c>
      <c r="F654" t="n">
        <v>304226.64</v>
      </c>
      <c r="G654" t="n">
        <v>199021.87</v>
      </c>
      <c r="H654" t="inlineStr">
        <is>
          <t>2025-05-31</t>
        </is>
      </c>
      <c r="I654" t="inlineStr">
        <is>
          <t>verified_original_html</t>
        </is>
      </c>
      <c r="J654" t="inlineStr">
        <is>
          <t>https://www.shzfgjj.cn/html/newxxgk/ywsjtj/227993.html</t>
        </is>
      </c>
    </row>
    <row r="655">
      <c r="A655" t="n">
        <v>2025</v>
      </c>
      <c r="B655" t="n">
        <v>5</v>
      </c>
      <c r="C655" t="inlineStr">
        <is>
          <t>金山</t>
        </is>
      </c>
      <c r="D655" t="n">
        <v>1.59</v>
      </c>
      <c r="E655" t="n">
        <v>19.28</v>
      </c>
      <c r="F655" t="n">
        <v>163043.61</v>
      </c>
      <c r="G655" t="n">
        <v>118503.7</v>
      </c>
      <c r="H655" t="inlineStr">
        <is>
          <t>2025-05-31</t>
        </is>
      </c>
      <c r="I655" t="inlineStr">
        <is>
          <t>verified_original_html</t>
        </is>
      </c>
      <c r="J655" t="inlineStr">
        <is>
          <t>https://www.shzfgjj.cn/html/newxxgk/ywsjtj/227993.html</t>
        </is>
      </c>
    </row>
    <row r="656">
      <c r="A656" t="n">
        <v>2025</v>
      </c>
      <c r="B656" t="n">
        <v>5</v>
      </c>
      <c r="C656" t="inlineStr">
        <is>
          <t>青浦</t>
        </is>
      </c>
      <c r="D656" t="n">
        <v>2.07</v>
      </c>
      <c r="E656" t="n">
        <v>26.29</v>
      </c>
      <c r="F656" t="n">
        <v>215062.95</v>
      </c>
      <c r="G656" t="n">
        <v>138462.51</v>
      </c>
      <c r="H656" t="inlineStr">
        <is>
          <t>2025-05-31</t>
        </is>
      </c>
      <c r="I656" t="inlineStr">
        <is>
          <t>verified_original_html</t>
        </is>
      </c>
      <c r="J656" t="inlineStr">
        <is>
          <t>https://www.shzfgjj.cn/html/newxxgk/ywsjtj/227993.html</t>
        </is>
      </c>
    </row>
    <row r="657">
      <c r="A657" t="n">
        <v>2025</v>
      </c>
      <c r="B657" t="n">
        <v>5</v>
      </c>
      <c r="C657" t="inlineStr">
        <is>
          <t>崇明</t>
        </is>
      </c>
      <c r="D657" t="n">
        <v>0.41</v>
      </c>
      <c r="E657" t="n">
        <v>7.13</v>
      </c>
      <c r="F657" t="n">
        <v>71102.44</v>
      </c>
      <c r="G657" t="n">
        <v>51698.79</v>
      </c>
      <c r="H657" t="inlineStr">
        <is>
          <t>2025-05-31</t>
        </is>
      </c>
      <c r="I657" t="inlineStr">
        <is>
          <t>verified_original_html</t>
        </is>
      </c>
      <c r="J657" t="inlineStr">
        <is>
          <t>https://www.shzfgjj.cn/html/newxxgk/ywsjtj/227993.html</t>
        </is>
      </c>
    </row>
    <row r="658">
      <c r="A658" t="n">
        <v>2025</v>
      </c>
      <c r="B658" t="n">
        <v>6</v>
      </c>
      <c r="C658" t="inlineStr">
        <is>
          <t>黄浦</t>
        </is>
      </c>
      <c r="D658" t="n">
        <v>3.61</v>
      </c>
      <c r="E658" t="n">
        <v>117.31</v>
      </c>
      <c r="F658" t="n">
        <v>2696782.28</v>
      </c>
      <c r="G658" t="n">
        <v>2809756.47</v>
      </c>
      <c r="H658" t="inlineStr">
        <is>
          <t>2025-06-30</t>
        </is>
      </c>
      <c r="I658" t="inlineStr">
        <is>
          <t>verified_original_html</t>
        </is>
      </c>
      <c r="J658" t="inlineStr">
        <is>
          <t>https://www.shzfgjj.cn/html/newxxgk/ywsjtj/228041.html</t>
        </is>
      </c>
    </row>
    <row r="659">
      <c r="A659" t="n">
        <v>2025</v>
      </c>
      <c r="B659" t="n">
        <v>6</v>
      </c>
      <c r="C659" t="inlineStr">
        <is>
          <t>徐汇</t>
        </is>
      </c>
      <c r="D659" t="n">
        <v>5.68</v>
      </c>
      <c r="E659" t="n">
        <v>89.87</v>
      </c>
      <c r="F659" t="n">
        <v>1543189.08</v>
      </c>
      <c r="G659" t="n">
        <v>973239.49</v>
      </c>
      <c r="H659" t="inlineStr">
        <is>
          <t>2025-06-30</t>
        </is>
      </c>
      <c r="I659" t="inlineStr">
        <is>
          <t>verified_original_html</t>
        </is>
      </c>
      <c r="J659" t="inlineStr">
        <is>
          <t>https://www.shzfgjj.cn/html/newxxgk/ywsjtj/228041.html</t>
        </is>
      </c>
    </row>
    <row r="660">
      <c r="A660" t="n">
        <v>2025</v>
      </c>
      <c r="B660" t="n">
        <v>6</v>
      </c>
      <c r="C660" t="inlineStr">
        <is>
          <t>长宁</t>
        </is>
      </c>
      <c r="D660" t="n">
        <v>2.54</v>
      </c>
      <c r="E660" t="n">
        <v>51.05</v>
      </c>
      <c r="F660" t="n">
        <v>802834.29</v>
      </c>
      <c r="G660" t="n">
        <v>507248.04</v>
      </c>
      <c r="H660" t="inlineStr">
        <is>
          <t>2025-06-30</t>
        </is>
      </c>
      <c r="I660" t="inlineStr">
        <is>
          <t>verified_original_html</t>
        </is>
      </c>
      <c r="J660" t="inlineStr">
        <is>
          <t>https://www.shzfgjj.cn/html/newxxgk/ywsjtj/228041.html</t>
        </is>
      </c>
    </row>
    <row r="661">
      <c r="A661" t="n">
        <v>2025</v>
      </c>
      <c r="B661" t="n">
        <v>6</v>
      </c>
      <c r="C661" t="inlineStr">
        <is>
          <t>静安</t>
        </is>
      </c>
      <c r="D661" t="n">
        <v>4.05</v>
      </c>
      <c r="E661" t="n">
        <v>62.19</v>
      </c>
      <c r="F661" t="n">
        <v>896047.02</v>
      </c>
      <c r="G661" t="n">
        <v>568679.49</v>
      </c>
      <c r="H661" t="inlineStr">
        <is>
          <t>2025-06-30</t>
        </is>
      </c>
      <c r="I661" t="inlineStr">
        <is>
          <t>verified_original_html</t>
        </is>
      </c>
      <c r="J661" t="inlineStr">
        <is>
          <t>https://www.shzfgjj.cn/html/newxxgk/ywsjtj/228041.html</t>
        </is>
      </c>
    </row>
    <row r="662">
      <c r="A662" t="n">
        <v>2025</v>
      </c>
      <c r="B662" t="n">
        <v>6</v>
      </c>
      <c r="C662" t="inlineStr">
        <is>
          <t>普陀</t>
        </is>
      </c>
      <c r="D662" t="n">
        <v>3.77</v>
      </c>
      <c r="E662" t="n">
        <v>34.16</v>
      </c>
      <c r="F662" t="n">
        <v>387311.18</v>
      </c>
      <c r="G662" t="n">
        <v>247883.16</v>
      </c>
      <c r="H662" t="inlineStr">
        <is>
          <t>2025-06-30</t>
        </is>
      </c>
      <c r="I662" t="inlineStr">
        <is>
          <t>verified_original_html</t>
        </is>
      </c>
      <c r="J662" t="inlineStr">
        <is>
          <t>https://www.shzfgjj.cn/html/newxxgk/ywsjtj/228041.html</t>
        </is>
      </c>
    </row>
    <row r="663">
      <c r="A663" t="n">
        <v>2025</v>
      </c>
      <c r="B663" t="n">
        <v>6</v>
      </c>
      <c r="C663" t="inlineStr">
        <is>
          <t>虹口</t>
        </is>
      </c>
      <c r="D663" t="n">
        <v>2.41</v>
      </c>
      <c r="E663" t="n">
        <v>28.38</v>
      </c>
      <c r="F663" t="n">
        <v>384796.86</v>
      </c>
      <c r="G663" t="n">
        <v>248244.07</v>
      </c>
      <c r="H663" t="inlineStr">
        <is>
          <t>2025-06-30</t>
        </is>
      </c>
      <c r="I663" t="inlineStr">
        <is>
          <t>verified_original_html</t>
        </is>
      </c>
      <c r="J663" t="inlineStr">
        <is>
          <t>https://www.shzfgjj.cn/html/newxxgk/ywsjtj/228041.html</t>
        </is>
      </c>
    </row>
    <row r="664">
      <c r="A664" t="n">
        <v>2025</v>
      </c>
      <c r="B664" t="n">
        <v>6</v>
      </c>
      <c r="C664" t="inlineStr">
        <is>
          <t>杨浦</t>
        </is>
      </c>
      <c r="D664" t="n">
        <v>2.58</v>
      </c>
      <c r="E664" t="n">
        <v>32.06</v>
      </c>
      <c r="F664" t="n">
        <v>488774.15</v>
      </c>
      <c r="G664" t="n">
        <v>312359.38</v>
      </c>
      <c r="H664" t="inlineStr">
        <is>
          <t>2025-06-30</t>
        </is>
      </c>
      <c r="I664" t="inlineStr">
        <is>
          <t>verified_original_html</t>
        </is>
      </c>
      <c r="J664" t="inlineStr">
        <is>
          <t>https://www.shzfgjj.cn/html/newxxgk/ywsjtj/228041.html</t>
        </is>
      </c>
    </row>
    <row r="665">
      <c r="A665" t="n">
        <v>2025</v>
      </c>
      <c r="B665" t="n">
        <v>6</v>
      </c>
      <c r="C665" t="inlineStr">
        <is>
          <t>闵行</t>
        </is>
      </c>
      <c r="D665" t="n">
        <v>7.96</v>
      </c>
      <c r="E665" t="n">
        <v>63.75</v>
      </c>
      <c r="F665" t="n">
        <v>688289.41</v>
      </c>
      <c r="G665" t="n">
        <v>442150.51</v>
      </c>
      <c r="H665" t="inlineStr">
        <is>
          <t>2025-06-30</t>
        </is>
      </c>
      <c r="I665" t="inlineStr">
        <is>
          <t>verified_original_html</t>
        </is>
      </c>
      <c r="J665" t="inlineStr">
        <is>
          <t>https://www.shzfgjj.cn/html/newxxgk/ywsjtj/228041.html</t>
        </is>
      </c>
    </row>
    <row r="666">
      <c r="A666" t="n">
        <v>2025</v>
      </c>
      <c r="B666" t="n">
        <v>6</v>
      </c>
      <c r="C666" t="inlineStr">
        <is>
          <t>宝山</t>
        </is>
      </c>
      <c r="D666" t="n">
        <v>4.19</v>
      </c>
      <c r="E666" t="n">
        <v>38.48</v>
      </c>
      <c r="F666" t="n">
        <v>450368.46</v>
      </c>
      <c r="G666" t="n">
        <v>303046.59</v>
      </c>
      <c r="H666" t="inlineStr">
        <is>
          <t>2025-06-30</t>
        </is>
      </c>
      <c r="I666" t="inlineStr">
        <is>
          <t>verified_original_html</t>
        </is>
      </c>
      <c r="J666" t="inlineStr">
        <is>
          <t>https://www.shzfgjj.cn/html/newxxgk/ywsjtj/228041.html</t>
        </is>
      </c>
    </row>
    <row r="667">
      <c r="A667" t="n">
        <v>2025</v>
      </c>
      <c r="B667" t="n">
        <v>6</v>
      </c>
      <c r="C667" t="inlineStr">
        <is>
          <t>嘉定</t>
        </is>
      </c>
      <c r="D667" t="n">
        <v>3.6</v>
      </c>
      <c r="E667" t="n">
        <v>41.57</v>
      </c>
      <c r="F667" t="n">
        <v>495664.16</v>
      </c>
      <c r="G667" t="n">
        <v>314662.35</v>
      </c>
      <c r="H667" t="inlineStr">
        <is>
          <t>2025-06-30</t>
        </is>
      </c>
      <c r="I667" t="inlineStr">
        <is>
          <t>verified_original_html</t>
        </is>
      </c>
      <c r="J667" t="inlineStr">
        <is>
          <t>https://www.shzfgjj.cn/html/newxxgk/ywsjtj/228041.html</t>
        </is>
      </c>
    </row>
    <row r="668">
      <c r="A668" t="n">
        <v>2025</v>
      </c>
      <c r="B668" t="n">
        <v>6</v>
      </c>
      <c r="C668" t="inlineStr">
        <is>
          <t>浦东</t>
        </is>
      </c>
      <c r="D668" t="n">
        <v>10.81</v>
      </c>
      <c r="E668" t="n">
        <v>163.22</v>
      </c>
      <c r="F668" t="n">
        <v>2470072.27</v>
      </c>
      <c r="G668" t="n">
        <v>1545036.74</v>
      </c>
      <c r="H668" t="inlineStr">
        <is>
          <t>2025-06-30</t>
        </is>
      </c>
      <c r="I668" t="inlineStr">
        <is>
          <t>verified_original_html</t>
        </is>
      </c>
      <c r="J668" t="inlineStr">
        <is>
          <t>https://www.shzfgjj.cn/html/newxxgk/ywsjtj/228041.html</t>
        </is>
      </c>
    </row>
    <row r="669">
      <c r="A669" t="n">
        <v>2025</v>
      </c>
      <c r="B669" t="n">
        <v>6</v>
      </c>
      <c r="C669" t="inlineStr">
        <is>
          <t>奉贤</t>
        </is>
      </c>
      <c r="D669" t="n">
        <v>2.54</v>
      </c>
      <c r="E669" t="n">
        <v>22.76</v>
      </c>
      <c r="F669" t="n">
        <v>215469.74</v>
      </c>
      <c r="G669" t="n">
        <v>136316.28</v>
      </c>
      <c r="H669" t="inlineStr">
        <is>
          <t>2025-06-30</t>
        </is>
      </c>
      <c r="I669" t="inlineStr">
        <is>
          <t>verified_original_html</t>
        </is>
      </c>
      <c r="J669" t="inlineStr">
        <is>
          <t>https://www.shzfgjj.cn/html/newxxgk/ywsjtj/228041.html</t>
        </is>
      </c>
    </row>
    <row r="670">
      <c r="A670" t="n">
        <v>2025</v>
      </c>
      <c r="B670" t="n">
        <v>6</v>
      </c>
      <c r="C670" t="inlineStr">
        <is>
          <t>松江</t>
        </is>
      </c>
      <c r="D670" t="n">
        <v>3.9</v>
      </c>
      <c r="E670" t="n">
        <v>40.55</v>
      </c>
      <c r="F670" t="n">
        <v>364677.39</v>
      </c>
      <c r="G670" t="n">
        <v>232098.97</v>
      </c>
      <c r="H670" t="inlineStr">
        <is>
          <t>2025-06-30</t>
        </is>
      </c>
      <c r="I670" t="inlineStr">
        <is>
          <t>verified_original_html</t>
        </is>
      </c>
      <c r="J670" t="inlineStr">
        <is>
          <t>https://www.shzfgjj.cn/html/newxxgk/ywsjtj/228041.html</t>
        </is>
      </c>
    </row>
    <row r="671">
      <c r="A671" t="n">
        <v>2025</v>
      </c>
      <c r="B671" t="n">
        <v>6</v>
      </c>
      <c r="C671" t="inlineStr">
        <is>
          <t>金山</t>
        </is>
      </c>
      <c r="D671" t="n">
        <v>1.59</v>
      </c>
      <c r="E671" t="n">
        <v>19.25</v>
      </c>
      <c r="F671" t="n">
        <v>195215.15</v>
      </c>
      <c r="G671" t="n">
        <v>136065.29</v>
      </c>
      <c r="H671" t="inlineStr">
        <is>
          <t>2025-06-30</t>
        </is>
      </c>
      <c r="I671" t="inlineStr">
        <is>
          <t>verified_original_html</t>
        </is>
      </c>
      <c r="J671" t="inlineStr">
        <is>
          <t>https://www.shzfgjj.cn/html/newxxgk/ywsjtj/228041.html</t>
        </is>
      </c>
    </row>
    <row r="672">
      <c r="A672" t="n">
        <v>2025</v>
      </c>
      <c r="B672" t="n">
        <v>6</v>
      </c>
      <c r="C672" t="inlineStr">
        <is>
          <t>青浦</t>
        </is>
      </c>
      <c r="D672" t="n">
        <v>2.08</v>
      </c>
      <c r="E672" t="n">
        <v>26.31</v>
      </c>
      <c r="F672" t="n">
        <v>258325.18</v>
      </c>
      <c r="G672" t="n">
        <v>161446.73</v>
      </c>
      <c r="H672" t="inlineStr">
        <is>
          <t>2025-06-30</t>
        </is>
      </c>
      <c r="I672" t="inlineStr">
        <is>
          <t>verified_original_html</t>
        </is>
      </c>
      <c r="J672" t="inlineStr">
        <is>
          <t>https://www.shzfgjj.cn/html/newxxgk/ywsjtj/228041.html</t>
        </is>
      </c>
    </row>
    <row r="673">
      <c r="A673" t="n">
        <v>2025</v>
      </c>
      <c r="B673" t="n">
        <v>6</v>
      </c>
      <c r="C673" t="inlineStr">
        <is>
          <t>崇明</t>
        </is>
      </c>
      <c r="D673" t="n">
        <v>0.42</v>
      </c>
      <c r="E673" t="n">
        <v>7.12</v>
      </c>
      <c r="F673" t="n">
        <v>85182.62</v>
      </c>
      <c r="G673" t="n">
        <v>59953.43</v>
      </c>
      <c r="H673" t="inlineStr">
        <is>
          <t>2025-06-30</t>
        </is>
      </c>
      <c r="I673" t="inlineStr">
        <is>
          <t>verified_original_html</t>
        </is>
      </c>
      <c r="J673" t="inlineStr">
        <is>
          <t>https://www.shzfgjj.cn/html/newxxgk/ywsjtj/228041.html</t>
        </is>
      </c>
    </row>
    <row r="674">
      <c r="A674" t="n">
        <v>2025</v>
      </c>
      <c r="B674" t="n">
        <v>7</v>
      </c>
      <c r="C674" t="inlineStr">
        <is>
          <t>黄浦</t>
        </is>
      </c>
      <c r="D674" t="n">
        <v>3.61</v>
      </c>
      <c r="E674" t="n">
        <v>117.39</v>
      </c>
      <c r="F674" t="n">
        <v>3091547.46</v>
      </c>
      <c r="G674" t="n">
        <v>3261770.87</v>
      </c>
      <c r="H674" t="inlineStr">
        <is>
          <t>2025-07-31</t>
        </is>
      </c>
      <c r="I674" t="inlineStr">
        <is>
          <t>verified_original_html</t>
        </is>
      </c>
      <c r="J674" t="inlineStr">
        <is>
          <t>https://www.shzfgjj.cn/html/newxxgk/ywsjtj/228069.html</t>
        </is>
      </c>
    </row>
    <row r="675">
      <c r="A675" t="n">
        <v>2025</v>
      </c>
      <c r="B675" t="n">
        <v>7</v>
      </c>
      <c r="C675" t="inlineStr">
        <is>
          <t>徐汇</t>
        </is>
      </c>
      <c r="D675" t="n">
        <v>5.7</v>
      </c>
      <c r="E675" t="n">
        <v>90.40000000000001</v>
      </c>
      <c r="F675" t="n">
        <v>1778779.06</v>
      </c>
      <c r="G675" t="n">
        <v>1111992.48</v>
      </c>
      <c r="H675" t="inlineStr">
        <is>
          <t>2025-07-31</t>
        </is>
      </c>
      <c r="I675" t="inlineStr">
        <is>
          <t>verified_original_html</t>
        </is>
      </c>
      <c r="J675" t="inlineStr">
        <is>
          <t>https://www.shzfgjj.cn/html/newxxgk/ywsjtj/228069.html</t>
        </is>
      </c>
    </row>
    <row r="676">
      <c r="A676" t="n">
        <v>2025</v>
      </c>
      <c r="B676" t="n">
        <v>7</v>
      </c>
      <c r="C676" t="inlineStr">
        <is>
          <t>长宁</t>
        </is>
      </c>
      <c r="D676" t="n">
        <v>2.53</v>
      </c>
      <c r="E676" t="n">
        <v>51.35</v>
      </c>
      <c r="F676" t="n">
        <v>917216.33</v>
      </c>
      <c r="G676" t="n">
        <v>581303.15</v>
      </c>
      <c r="H676" t="inlineStr">
        <is>
          <t>2025-07-31</t>
        </is>
      </c>
      <c r="I676" t="inlineStr">
        <is>
          <t>verified_original_html</t>
        </is>
      </c>
      <c r="J676" t="inlineStr">
        <is>
          <t>https://www.shzfgjj.cn/html/newxxgk/ywsjtj/228069.html</t>
        </is>
      </c>
    </row>
    <row r="677">
      <c r="A677" t="n">
        <v>2025</v>
      </c>
      <c r="B677" t="n">
        <v>7</v>
      </c>
      <c r="C677" t="inlineStr">
        <is>
          <t>静安</t>
        </is>
      </c>
      <c r="D677" t="n">
        <v>4.05</v>
      </c>
      <c r="E677" t="n">
        <v>62.33</v>
      </c>
      <c r="F677" t="n">
        <v>1028330.47</v>
      </c>
      <c r="G677" t="n">
        <v>651336.85</v>
      </c>
      <c r="H677" t="inlineStr">
        <is>
          <t>2025-07-31</t>
        </is>
      </c>
      <c r="I677" t="inlineStr">
        <is>
          <t>verified_original_html</t>
        </is>
      </c>
      <c r="J677" t="inlineStr">
        <is>
          <t>https://www.shzfgjj.cn/html/newxxgk/ywsjtj/228069.html</t>
        </is>
      </c>
    </row>
    <row r="678">
      <c r="A678" t="n">
        <v>2025</v>
      </c>
      <c r="B678" t="n">
        <v>7</v>
      </c>
      <c r="C678" t="inlineStr">
        <is>
          <t>普陀</t>
        </is>
      </c>
      <c r="D678" t="n">
        <v>3.78</v>
      </c>
      <c r="E678" t="n">
        <v>34.2</v>
      </c>
      <c r="F678" t="n">
        <v>448810.47</v>
      </c>
      <c r="G678" t="n">
        <v>283056.1</v>
      </c>
      <c r="H678" t="inlineStr">
        <is>
          <t>2025-07-31</t>
        </is>
      </c>
      <c r="I678" t="inlineStr">
        <is>
          <t>verified_original_html</t>
        </is>
      </c>
      <c r="J678" t="inlineStr">
        <is>
          <t>https://www.shzfgjj.cn/html/newxxgk/ywsjtj/228069.html</t>
        </is>
      </c>
    </row>
    <row r="679">
      <c r="A679" t="n">
        <v>2025</v>
      </c>
      <c r="B679" t="n">
        <v>7</v>
      </c>
      <c r="C679" t="inlineStr">
        <is>
          <t>虹口</t>
        </is>
      </c>
      <c r="D679" t="n">
        <v>2.41</v>
      </c>
      <c r="E679" t="n">
        <v>28.48</v>
      </c>
      <c r="F679" t="n">
        <v>445981.41</v>
      </c>
      <c r="G679" t="n">
        <v>282976.54</v>
      </c>
      <c r="H679" t="inlineStr">
        <is>
          <t>2025-07-31</t>
        </is>
      </c>
      <c r="I679" t="inlineStr">
        <is>
          <t>verified_original_html</t>
        </is>
      </c>
      <c r="J679" t="inlineStr">
        <is>
          <t>https://www.shzfgjj.cn/html/newxxgk/ywsjtj/228069.html</t>
        </is>
      </c>
    </row>
    <row r="680">
      <c r="A680" t="n">
        <v>2025</v>
      </c>
      <c r="B680" t="n">
        <v>7</v>
      </c>
      <c r="C680" t="inlineStr">
        <is>
          <t>杨浦</t>
        </is>
      </c>
      <c r="D680" t="n">
        <v>2.59</v>
      </c>
      <c r="E680" t="n">
        <v>32.21</v>
      </c>
      <c r="F680" t="n">
        <v>557757.5</v>
      </c>
      <c r="G680" t="n">
        <v>356231.49</v>
      </c>
      <c r="H680" t="inlineStr">
        <is>
          <t>2025-07-31</t>
        </is>
      </c>
      <c r="I680" t="inlineStr">
        <is>
          <t>verified_original_html</t>
        </is>
      </c>
      <c r="J680" t="inlineStr">
        <is>
          <t>https://www.shzfgjj.cn/html/newxxgk/ywsjtj/228069.html</t>
        </is>
      </c>
    </row>
    <row r="681">
      <c r="A681" t="n">
        <v>2025</v>
      </c>
      <c r="B681" t="n">
        <v>7</v>
      </c>
      <c r="C681" t="inlineStr">
        <is>
          <t>闵行</t>
        </is>
      </c>
      <c r="D681" t="n">
        <v>8.029999999999999</v>
      </c>
      <c r="E681" t="n">
        <v>64.25</v>
      </c>
      <c r="F681" t="n">
        <v>798033.98</v>
      </c>
      <c r="G681" t="n">
        <v>504938.05</v>
      </c>
      <c r="H681" t="inlineStr">
        <is>
          <t>2025-07-31</t>
        </is>
      </c>
      <c r="I681" t="inlineStr">
        <is>
          <t>verified_original_html</t>
        </is>
      </c>
      <c r="J681" t="inlineStr">
        <is>
          <t>https://www.shzfgjj.cn/html/newxxgk/ywsjtj/228069.html</t>
        </is>
      </c>
    </row>
    <row r="682">
      <c r="A682" t="n">
        <v>2025</v>
      </c>
      <c r="B682" t="n">
        <v>7</v>
      </c>
      <c r="C682" t="inlineStr">
        <is>
          <t>宝山</t>
        </is>
      </c>
      <c r="D682" t="n">
        <v>4.2</v>
      </c>
      <c r="E682" t="n">
        <v>38.5</v>
      </c>
      <c r="F682" t="n">
        <v>522095.12</v>
      </c>
      <c r="G682" t="n">
        <v>346578.19</v>
      </c>
      <c r="H682" t="inlineStr">
        <is>
          <t>2025-07-31</t>
        </is>
      </c>
      <c r="I682" t="inlineStr">
        <is>
          <t>verified_original_html</t>
        </is>
      </c>
      <c r="J682" t="inlineStr">
        <is>
          <t>https://www.shzfgjj.cn/html/newxxgk/ywsjtj/228069.html</t>
        </is>
      </c>
    </row>
    <row r="683">
      <c r="A683" t="n">
        <v>2025</v>
      </c>
      <c r="B683" t="n">
        <v>7</v>
      </c>
      <c r="C683" t="inlineStr">
        <is>
          <t>嘉定</t>
        </is>
      </c>
      <c r="D683" t="n">
        <v>3.62</v>
      </c>
      <c r="E683" t="n">
        <v>41.66</v>
      </c>
      <c r="F683" t="n">
        <v>572394.13</v>
      </c>
      <c r="G683" t="n">
        <v>357762.11</v>
      </c>
      <c r="H683" t="inlineStr">
        <is>
          <t>2025-07-31</t>
        </is>
      </c>
      <c r="I683" t="inlineStr">
        <is>
          <t>verified_original_html</t>
        </is>
      </c>
      <c r="J683" t="inlineStr">
        <is>
          <t>https://www.shzfgjj.cn/html/newxxgk/ywsjtj/228069.html</t>
        </is>
      </c>
    </row>
    <row r="684">
      <c r="A684" t="n">
        <v>2025</v>
      </c>
      <c r="B684" t="n">
        <v>7</v>
      </c>
      <c r="C684" t="inlineStr">
        <is>
          <t>浦东</t>
        </is>
      </c>
      <c r="D684" t="n">
        <v>10.83</v>
      </c>
      <c r="E684" t="n">
        <v>164.2</v>
      </c>
      <c r="F684" t="n">
        <v>2843366.04</v>
      </c>
      <c r="G684" t="n">
        <v>1770879.11</v>
      </c>
      <c r="H684" t="inlineStr">
        <is>
          <t>2025-07-31</t>
        </is>
      </c>
      <c r="I684" t="inlineStr">
        <is>
          <t>verified_original_html</t>
        </is>
      </c>
      <c r="J684" t="inlineStr">
        <is>
          <t>https://www.shzfgjj.cn/html/newxxgk/ywsjtj/228069.html</t>
        </is>
      </c>
    </row>
    <row r="685">
      <c r="A685" t="n">
        <v>2025</v>
      </c>
      <c r="B685" t="n">
        <v>7</v>
      </c>
      <c r="C685" t="inlineStr">
        <is>
          <t>奉贤</t>
        </is>
      </c>
      <c r="D685" t="n">
        <v>2.54</v>
      </c>
      <c r="E685" t="n">
        <v>22.85</v>
      </c>
      <c r="F685" t="n">
        <v>248390.64</v>
      </c>
      <c r="G685" t="n">
        <v>154634.63</v>
      </c>
      <c r="H685" t="inlineStr">
        <is>
          <t>2025-07-31</t>
        </is>
      </c>
      <c r="I685" t="inlineStr">
        <is>
          <t>verified_original_html</t>
        </is>
      </c>
      <c r="J685" t="inlineStr">
        <is>
          <t>https://www.shzfgjj.cn/html/newxxgk/ywsjtj/228069.html</t>
        </is>
      </c>
    </row>
    <row r="686">
      <c r="A686" t="n">
        <v>2025</v>
      </c>
      <c r="B686" t="n">
        <v>7</v>
      </c>
      <c r="C686" t="inlineStr">
        <is>
          <t>松江</t>
        </is>
      </c>
      <c r="D686" t="n">
        <v>3.92</v>
      </c>
      <c r="E686" t="n">
        <v>40.67</v>
      </c>
      <c r="F686" t="n">
        <v>422904.77</v>
      </c>
      <c r="G686" t="n">
        <v>265623.34</v>
      </c>
      <c r="H686" t="inlineStr">
        <is>
          <t>2025-07-31</t>
        </is>
      </c>
      <c r="I686" t="inlineStr">
        <is>
          <t>verified_original_html</t>
        </is>
      </c>
      <c r="J686" t="inlineStr">
        <is>
          <t>https://www.shzfgjj.cn/html/newxxgk/ywsjtj/228069.html</t>
        </is>
      </c>
    </row>
    <row r="687">
      <c r="A687" t="n">
        <v>2025</v>
      </c>
      <c r="B687" t="n">
        <v>7</v>
      </c>
      <c r="C687" t="inlineStr">
        <is>
          <t>金山</t>
        </is>
      </c>
      <c r="D687" t="n">
        <v>1.59</v>
      </c>
      <c r="E687" t="n">
        <v>19.32</v>
      </c>
      <c r="F687" t="n">
        <v>226989.45</v>
      </c>
      <c r="G687" t="n">
        <v>154665.44</v>
      </c>
      <c r="H687" t="inlineStr">
        <is>
          <t>2025-07-31</t>
        </is>
      </c>
      <c r="I687" t="inlineStr">
        <is>
          <t>verified_original_html</t>
        </is>
      </c>
      <c r="J687" t="inlineStr">
        <is>
          <t>https://www.shzfgjj.cn/html/newxxgk/ywsjtj/228069.html</t>
        </is>
      </c>
    </row>
    <row r="688">
      <c r="A688" t="n">
        <v>2025</v>
      </c>
      <c r="B688" t="n">
        <v>7</v>
      </c>
      <c r="C688" t="inlineStr">
        <is>
          <t>青浦</t>
        </is>
      </c>
      <c r="D688" t="n">
        <v>2.09</v>
      </c>
      <c r="E688" t="n">
        <v>26.5</v>
      </c>
      <c r="F688" t="n">
        <v>298865.52</v>
      </c>
      <c r="G688" t="n">
        <v>183763.91</v>
      </c>
      <c r="H688" t="inlineStr">
        <is>
          <t>2025-07-31</t>
        </is>
      </c>
      <c r="I688" t="inlineStr">
        <is>
          <t>verified_original_html</t>
        </is>
      </c>
      <c r="J688" t="inlineStr">
        <is>
          <t>https://www.shzfgjj.cn/html/newxxgk/ywsjtj/228069.html</t>
        </is>
      </c>
    </row>
    <row r="689">
      <c r="A689" t="n">
        <v>2025</v>
      </c>
      <c r="B689" t="n">
        <v>7</v>
      </c>
      <c r="C689" t="inlineStr">
        <is>
          <t>崇明</t>
        </is>
      </c>
      <c r="D689" t="n">
        <v>0.42</v>
      </c>
      <c r="E689" t="n">
        <v>7.09</v>
      </c>
      <c r="F689" t="n">
        <v>98197.96000000001</v>
      </c>
      <c r="G689" t="n">
        <v>67938.62</v>
      </c>
      <c r="H689" t="inlineStr">
        <is>
          <t>2025-07-31</t>
        </is>
      </c>
      <c r="I689" t="inlineStr">
        <is>
          <t>verified_original_html</t>
        </is>
      </c>
      <c r="J689" t="inlineStr">
        <is>
          <t>https://www.shzfgjj.cn/html/newxxgk/ywsjtj/228069.html</t>
        </is>
      </c>
    </row>
    <row r="690">
      <c r="A690" t="n">
        <v>2025</v>
      </c>
      <c r="B690" t="n">
        <v>8</v>
      </c>
      <c r="C690" t="inlineStr">
        <is>
          <t>黄浦</t>
        </is>
      </c>
      <c r="D690" t="n">
        <v>3.62</v>
      </c>
      <c r="E690" t="n">
        <v>117.24</v>
      </c>
      <c r="F690" t="n">
        <v>3597315.59</v>
      </c>
      <c r="G690" t="n">
        <v>3688308.78</v>
      </c>
      <c r="H690" t="inlineStr">
        <is>
          <t>2025-08-31</t>
        </is>
      </c>
      <c r="I690" t="inlineStr">
        <is>
          <t>verified_original_html</t>
        </is>
      </c>
      <c r="J690" t="inlineStr">
        <is>
          <t>https://www.shzfgjj.cn/html/newxxgk/ywsjtj/228129.html</t>
        </is>
      </c>
    </row>
    <row r="691">
      <c r="A691" t="n">
        <v>2025</v>
      </c>
      <c r="B691" t="n">
        <v>8</v>
      </c>
      <c r="C691" t="inlineStr">
        <is>
          <t>徐汇</t>
        </is>
      </c>
      <c r="D691" t="n">
        <v>5.74</v>
      </c>
      <c r="E691" t="n">
        <v>90.93000000000001</v>
      </c>
      <c r="F691" t="n">
        <v>2059397.46</v>
      </c>
      <c r="G691" t="n">
        <v>1252632.15</v>
      </c>
      <c r="H691" t="inlineStr">
        <is>
          <t>2025-08-31</t>
        </is>
      </c>
      <c r="I691" t="inlineStr">
        <is>
          <t>verified_original_html</t>
        </is>
      </c>
      <c r="J691" t="inlineStr">
        <is>
          <t>https://www.shzfgjj.cn/html/newxxgk/ywsjtj/228129.html</t>
        </is>
      </c>
    </row>
    <row r="692">
      <c r="A692" t="n">
        <v>2025</v>
      </c>
      <c r="B692" t="n">
        <v>8</v>
      </c>
      <c r="C692" t="inlineStr">
        <is>
          <t>长宁</t>
        </is>
      </c>
      <c r="D692" t="n">
        <v>2.54</v>
      </c>
      <c r="E692" t="n">
        <v>51.79</v>
      </c>
      <c r="F692" t="n">
        <v>1062262.18</v>
      </c>
      <c r="G692" t="n">
        <v>653660.46</v>
      </c>
      <c r="H692" t="inlineStr">
        <is>
          <t>2025-08-31</t>
        </is>
      </c>
      <c r="I692" t="inlineStr">
        <is>
          <t>verified_original_html</t>
        </is>
      </c>
      <c r="J692" t="inlineStr">
        <is>
          <t>https://www.shzfgjj.cn/html/newxxgk/ywsjtj/228129.html</t>
        </is>
      </c>
    </row>
    <row r="693">
      <c r="A693" t="n">
        <v>2025</v>
      </c>
      <c r="B693" t="n">
        <v>8</v>
      </c>
      <c r="C693" t="inlineStr">
        <is>
          <t>静安</t>
        </is>
      </c>
      <c r="D693" t="n">
        <v>4.06</v>
      </c>
      <c r="E693" t="n">
        <v>62.98</v>
      </c>
      <c r="F693" t="n">
        <v>1200298.99</v>
      </c>
      <c r="G693" t="n">
        <v>734936.51</v>
      </c>
      <c r="H693" t="inlineStr">
        <is>
          <t>2025-08-31</t>
        </is>
      </c>
      <c r="I693" t="inlineStr">
        <is>
          <t>verified_original_html</t>
        </is>
      </c>
      <c r="J693" t="inlineStr">
        <is>
          <t>https://www.shzfgjj.cn/html/newxxgk/ywsjtj/228129.html</t>
        </is>
      </c>
    </row>
    <row r="694">
      <c r="A694" t="n">
        <v>2025</v>
      </c>
      <c r="B694" t="n">
        <v>8</v>
      </c>
      <c r="C694" t="inlineStr">
        <is>
          <t>普陀</t>
        </is>
      </c>
      <c r="D694" t="n">
        <v>3.79</v>
      </c>
      <c r="E694" t="n">
        <v>34.27</v>
      </c>
      <c r="F694" t="n">
        <v>518796.61</v>
      </c>
      <c r="G694" t="n">
        <v>319035.44</v>
      </c>
      <c r="H694" t="inlineStr">
        <is>
          <t>2025-08-31</t>
        </is>
      </c>
      <c r="I694" t="inlineStr">
        <is>
          <t>verified_original_html</t>
        </is>
      </c>
      <c r="J694" t="inlineStr">
        <is>
          <t>https://www.shzfgjj.cn/html/newxxgk/ywsjtj/228129.html</t>
        </is>
      </c>
    </row>
    <row r="695">
      <c r="A695" t="n">
        <v>2025</v>
      </c>
      <c r="B695" t="n">
        <v>8</v>
      </c>
      <c r="C695" t="inlineStr">
        <is>
          <t>虹口</t>
        </is>
      </c>
      <c r="D695" t="n">
        <v>2.42</v>
      </c>
      <c r="E695" t="n">
        <v>28.56</v>
      </c>
      <c r="F695" t="n">
        <v>513483.06</v>
      </c>
      <c r="G695" t="n">
        <v>319608.49</v>
      </c>
      <c r="H695" t="inlineStr">
        <is>
          <t>2025-08-31</t>
        </is>
      </c>
      <c r="I695" t="inlineStr">
        <is>
          <t>verified_original_html</t>
        </is>
      </c>
      <c r="J695" t="inlineStr">
        <is>
          <t>https://www.shzfgjj.cn/html/newxxgk/ywsjtj/228129.html</t>
        </is>
      </c>
    </row>
    <row r="696">
      <c r="A696" t="n">
        <v>2025</v>
      </c>
      <c r="B696" t="n">
        <v>8</v>
      </c>
      <c r="C696" t="inlineStr">
        <is>
          <t>杨浦</t>
        </is>
      </c>
      <c r="D696" t="n">
        <v>2.6</v>
      </c>
      <c r="E696" t="n">
        <v>32.38</v>
      </c>
      <c r="F696" t="n">
        <v>646697.75</v>
      </c>
      <c r="G696" t="n">
        <v>400154.77</v>
      </c>
      <c r="H696" t="inlineStr">
        <is>
          <t>2025-08-31</t>
        </is>
      </c>
      <c r="I696" t="inlineStr">
        <is>
          <t>verified_original_html</t>
        </is>
      </c>
      <c r="J696" t="inlineStr">
        <is>
          <t>https://www.shzfgjj.cn/html/newxxgk/ywsjtj/228129.html</t>
        </is>
      </c>
    </row>
    <row r="697">
      <c r="A697" t="n">
        <v>2025</v>
      </c>
      <c r="B697" t="n">
        <v>8</v>
      </c>
      <c r="C697" t="inlineStr">
        <is>
          <t>闵行</t>
        </is>
      </c>
      <c r="D697" t="n">
        <v>8.1</v>
      </c>
      <c r="E697" t="n">
        <v>64.73</v>
      </c>
      <c r="F697" t="n">
        <v>924325.1800000001</v>
      </c>
      <c r="G697" t="n">
        <v>569403.4399999999</v>
      </c>
      <c r="H697" t="inlineStr">
        <is>
          <t>2025-08-31</t>
        </is>
      </c>
      <c r="I697" t="inlineStr">
        <is>
          <t>verified_original_html</t>
        </is>
      </c>
      <c r="J697" t="inlineStr">
        <is>
          <t>https://www.shzfgjj.cn/html/newxxgk/ywsjtj/228129.html</t>
        </is>
      </c>
    </row>
    <row r="698">
      <c r="A698" t="n">
        <v>2025</v>
      </c>
      <c r="B698" t="n">
        <v>8</v>
      </c>
      <c r="C698" t="inlineStr">
        <is>
          <t>宝山</t>
        </is>
      </c>
      <c r="D698" t="n">
        <v>4.23</v>
      </c>
      <c r="E698" t="n">
        <v>38.76</v>
      </c>
      <c r="F698" t="n">
        <v>601335.96</v>
      </c>
      <c r="G698" t="n">
        <v>388792.31</v>
      </c>
      <c r="H698" t="inlineStr">
        <is>
          <t>2025-08-31</t>
        </is>
      </c>
      <c r="I698" t="inlineStr">
        <is>
          <t>verified_original_html</t>
        </is>
      </c>
      <c r="J698" t="inlineStr">
        <is>
          <t>https://www.shzfgjj.cn/html/newxxgk/ywsjtj/228129.html</t>
        </is>
      </c>
    </row>
    <row r="699">
      <c r="A699" t="n">
        <v>2025</v>
      </c>
      <c r="B699" t="n">
        <v>8</v>
      </c>
      <c r="C699" t="inlineStr">
        <is>
          <t>嘉定</t>
        </is>
      </c>
      <c r="D699" t="n">
        <v>3.64</v>
      </c>
      <c r="E699" t="n">
        <v>41.53</v>
      </c>
      <c r="F699" t="n">
        <v>661896.8199999999</v>
      </c>
      <c r="G699" t="n">
        <v>400974.55</v>
      </c>
      <c r="H699" t="inlineStr">
        <is>
          <t>2025-08-31</t>
        </is>
      </c>
      <c r="I699" t="inlineStr">
        <is>
          <t>verified_original_html</t>
        </is>
      </c>
      <c r="J699" t="inlineStr">
        <is>
          <t>https://www.shzfgjj.cn/html/newxxgk/ywsjtj/228129.html</t>
        </is>
      </c>
    </row>
    <row r="700">
      <c r="A700" t="n">
        <v>2025</v>
      </c>
      <c r="B700" t="n">
        <v>8</v>
      </c>
      <c r="C700" t="inlineStr">
        <is>
          <t>浦东</t>
        </is>
      </c>
      <c r="D700" t="n">
        <v>10.87</v>
      </c>
      <c r="E700" t="n">
        <v>165.38</v>
      </c>
      <c r="F700" t="n">
        <v>3309024.49</v>
      </c>
      <c r="G700" t="n">
        <v>1996966.12</v>
      </c>
      <c r="H700" t="inlineStr">
        <is>
          <t>2025-08-31</t>
        </is>
      </c>
      <c r="I700" t="inlineStr">
        <is>
          <t>verified_original_html</t>
        </is>
      </c>
      <c r="J700" t="inlineStr">
        <is>
          <t>https://www.shzfgjj.cn/html/newxxgk/ywsjtj/228129.html</t>
        </is>
      </c>
    </row>
    <row r="701">
      <c r="A701" t="n">
        <v>2025</v>
      </c>
      <c r="B701" t="n">
        <v>8</v>
      </c>
      <c r="C701" t="inlineStr">
        <is>
          <t>奉贤</t>
        </is>
      </c>
      <c r="D701" t="n">
        <v>2.55</v>
      </c>
      <c r="E701" t="n">
        <v>22.94</v>
      </c>
      <c r="F701" t="n">
        <v>288170.02</v>
      </c>
      <c r="G701" t="n">
        <v>173391.9</v>
      </c>
      <c r="H701" t="inlineStr">
        <is>
          <t>2025-08-31</t>
        </is>
      </c>
      <c r="I701" t="inlineStr">
        <is>
          <t>verified_original_html</t>
        </is>
      </c>
      <c r="J701" t="inlineStr">
        <is>
          <t>https://www.shzfgjj.cn/html/newxxgk/ywsjtj/228129.html</t>
        </is>
      </c>
    </row>
    <row r="702">
      <c r="A702" t="n">
        <v>2025</v>
      </c>
      <c r="B702" t="n">
        <v>8</v>
      </c>
      <c r="C702" t="inlineStr">
        <is>
          <t>松江</t>
        </is>
      </c>
      <c r="D702" t="n">
        <v>3.94</v>
      </c>
      <c r="E702" t="n">
        <v>40.76</v>
      </c>
      <c r="F702" t="n">
        <v>488412.9</v>
      </c>
      <c r="G702" t="n">
        <v>299817.76</v>
      </c>
      <c r="H702" t="inlineStr">
        <is>
          <t>2025-08-31</t>
        </is>
      </c>
      <c r="I702" t="inlineStr">
        <is>
          <t>verified_original_html</t>
        </is>
      </c>
      <c r="J702" t="inlineStr">
        <is>
          <t>https://www.shzfgjj.cn/html/newxxgk/ywsjtj/228129.html</t>
        </is>
      </c>
    </row>
    <row r="703">
      <c r="A703" t="n">
        <v>2025</v>
      </c>
      <c r="B703" t="n">
        <v>8</v>
      </c>
      <c r="C703" t="inlineStr">
        <is>
          <t>金山</t>
        </is>
      </c>
      <c r="D703" t="n">
        <v>1.6</v>
      </c>
      <c r="E703" t="n">
        <v>19.46</v>
      </c>
      <c r="F703" t="n">
        <v>262146.68</v>
      </c>
      <c r="G703" t="n">
        <v>173429.56</v>
      </c>
      <c r="H703" t="inlineStr">
        <is>
          <t>2025-08-31</t>
        </is>
      </c>
      <c r="I703" t="inlineStr">
        <is>
          <t>verified_original_html</t>
        </is>
      </c>
      <c r="J703" t="inlineStr">
        <is>
          <t>https://www.shzfgjj.cn/html/newxxgk/ywsjtj/228129.html</t>
        </is>
      </c>
    </row>
    <row r="704">
      <c r="A704" t="n">
        <v>2025</v>
      </c>
      <c r="B704" t="n">
        <v>8</v>
      </c>
      <c r="C704" t="inlineStr">
        <is>
          <t>青浦</t>
        </is>
      </c>
      <c r="D704" t="n">
        <v>2.09</v>
      </c>
      <c r="E704" t="n">
        <v>26.77</v>
      </c>
      <c r="F704" t="n">
        <v>348067.79</v>
      </c>
      <c r="G704" t="n">
        <v>207507.58</v>
      </c>
      <c r="H704" t="inlineStr">
        <is>
          <t>2025-08-31</t>
        </is>
      </c>
      <c r="I704" t="inlineStr">
        <is>
          <t>verified_original_html</t>
        </is>
      </c>
      <c r="J704" t="inlineStr">
        <is>
          <t>https://www.shzfgjj.cn/html/newxxgk/ywsjtj/228129.html</t>
        </is>
      </c>
    </row>
    <row r="705">
      <c r="A705" t="n">
        <v>2025</v>
      </c>
      <c r="B705" t="n">
        <v>8</v>
      </c>
      <c r="C705" t="inlineStr">
        <is>
          <t>崇明</t>
        </is>
      </c>
      <c r="D705" t="n">
        <v>0.42</v>
      </c>
      <c r="E705" t="n">
        <v>7.16</v>
      </c>
      <c r="F705" t="n">
        <v>114417.01</v>
      </c>
      <c r="G705" t="n">
        <v>75824.52</v>
      </c>
      <c r="H705" t="inlineStr">
        <is>
          <t>2025-08-31</t>
        </is>
      </c>
      <c r="I705" t="inlineStr">
        <is>
          <t>verified_original_html</t>
        </is>
      </c>
      <c r="J705" t="inlineStr">
        <is>
          <t>https://www.shzfgjj.cn/html/newxxgk/ywsjtj/228129.html</t>
        </is>
      </c>
    </row>
    <row r="706">
      <c r="A706" t="n">
        <v>2025</v>
      </c>
      <c r="B706" t="n">
        <v>9</v>
      </c>
      <c r="C706" t="inlineStr">
        <is>
          <t>黄浦</t>
        </is>
      </c>
      <c r="D706" t="n">
        <v>3.62</v>
      </c>
      <c r="E706" t="n">
        <v>117.06</v>
      </c>
      <c r="F706" t="n">
        <v>4074981.65</v>
      </c>
      <c r="G706" t="n">
        <v>4427033.43</v>
      </c>
      <c r="H706" t="inlineStr">
        <is>
          <t>2025-09-30</t>
        </is>
      </c>
      <c r="I706" t="inlineStr">
        <is>
          <t>verified_original_html</t>
        </is>
      </c>
      <c r="J706" t="inlineStr">
        <is>
          <t>https://www.shzfgjj.cn/html/newxxgk/ywsjtj/228184.html</t>
        </is>
      </c>
    </row>
    <row r="707">
      <c r="A707" t="n">
        <v>2025</v>
      </c>
      <c r="B707" t="n">
        <v>9</v>
      </c>
      <c r="C707" t="inlineStr">
        <is>
          <t>徐汇</t>
        </is>
      </c>
      <c r="D707" t="n">
        <v>5.76</v>
      </c>
      <c r="E707" t="n">
        <v>91.15000000000001</v>
      </c>
      <c r="F707" t="n">
        <v>2338405.83</v>
      </c>
      <c r="G707" t="n">
        <v>1538801.15</v>
      </c>
      <c r="H707" t="inlineStr">
        <is>
          <t>2025-09-30</t>
        </is>
      </c>
      <c r="I707" t="inlineStr">
        <is>
          <t>verified_original_html</t>
        </is>
      </c>
      <c r="J707" t="inlineStr">
        <is>
          <t>https://www.shzfgjj.cn/html/newxxgk/ywsjtj/228184.html</t>
        </is>
      </c>
    </row>
    <row r="708">
      <c r="A708" t="n">
        <v>2025</v>
      </c>
      <c r="B708" t="n">
        <v>9</v>
      </c>
      <c r="C708" t="inlineStr">
        <is>
          <t>长宁</t>
        </is>
      </c>
      <c r="D708" t="n">
        <v>2.54</v>
      </c>
      <c r="E708" t="n">
        <v>51.91</v>
      </c>
      <c r="F708" t="n">
        <v>1207267.65</v>
      </c>
      <c r="G708" t="n">
        <v>804202.75</v>
      </c>
      <c r="H708" t="inlineStr">
        <is>
          <t>2025-09-30</t>
        </is>
      </c>
      <c r="I708" t="inlineStr">
        <is>
          <t>verified_original_html</t>
        </is>
      </c>
      <c r="J708" t="inlineStr">
        <is>
          <t>https://www.shzfgjj.cn/html/newxxgk/ywsjtj/228184.html</t>
        </is>
      </c>
    </row>
    <row r="709">
      <c r="A709" t="n">
        <v>2025</v>
      </c>
      <c r="B709" t="n">
        <v>9</v>
      </c>
      <c r="C709" t="inlineStr">
        <is>
          <t>静安</t>
        </is>
      </c>
      <c r="D709" t="n">
        <v>4.08</v>
      </c>
      <c r="E709" t="n">
        <v>63.04</v>
      </c>
      <c r="F709" t="n">
        <v>1361115.3</v>
      </c>
      <c r="G709" t="n">
        <v>904382.01</v>
      </c>
      <c r="H709" t="inlineStr">
        <is>
          <t>2025-09-30</t>
        </is>
      </c>
      <c r="I709" t="inlineStr">
        <is>
          <t>verified_original_html</t>
        </is>
      </c>
      <c r="J709" t="inlineStr">
        <is>
          <t>https://www.shzfgjj.cn/html/newxxgk/ywsjtj/228184.html</t>
        </is>
      </c>
    </row>
    <row r="710">
      <c r="A710" t="n">
        <v>2025</v>
      </c>
      <c r="B710" t="n">
        <v>9</v>
      </c>
      <c r="C710" t="inlineStr">
        <is>
          <t>普陀</t>
        </is>
      </c>
      <c r="D710" t="n">
        <v>3.79</v>
      </c>
      <c r="E710" t="n">
        <v>34.61</v>
      </c>
      <c r="F710" t="n">
        <v>587013.27</v>
      </c>
      <c r="G710" t="n">
        <v>390484.16</v>
      </c>
      <c r="H710" t="inlineStr">
        <is>
          <t>2025-09-30</t>
        </is>
      </c>
      <c r="I710" t="inlineStr">
        <is>
          <t>verified_original_html</t>
        </is>
      </c>
      <c r="J710" t="inlineStr">
        <is>
          <t>https://www.shzfgjj.cn/html/newxxgk/ywsjtj/228184.html</t>
        </is>
      </c>
    </row>
    <row r="711">
      <c r="A711" t="n">
        <v>2025</v>
      </c>
      <c r="B711" t="n">
        <v>9</v>
      </c>
      <c r="C711" t="inlineStr">
        <is>
          <t>虹口</t>
        </is>
      </c>
      <c r="D711" t="n">
        <v>2.42</v>
      </c>
      <c r="E711" t="n">
        <v>28.57</v>
      </c>
      <c r="F711" t="n">
        <v>581377.34</v>
      </c>
      <c r="G711" t="n">
        <v>392393.93</v>
      </c>
      <c r="H711" t="inlineStr">
        <is>
          <t>2025-09-30</t>
        </is>
      </c>
      <c r="I711" t="inlineStr">
        <is>
          <t>verified_original_html</t>
        </is>
      </c>
      <c r="J711" t="inlineStr">
        <is>
          <t>https://www.shzfgjj.cn/html/newxxgk/ywsjtj/228184.html</t>
        </is>
      </c>
    </row>
    <row r="712">
      <c r="A712" t="n">
        <v>2025</v>
      </c>
      <c r="B712" t="n">
        <v>9</v>
      </c>
      <c r="C712" t="inlineStr">
        <is>
          <t>杨浦</t>
        </is>
      </c>
      <c r="D712" t="n">
        <v>2.6</v>
      </c>
      <c r="E712" t="n">
        <v>32.48</v>
      </c>
      <c r="F712" t="n">
        <v>742664.6899999999</v>
      </c>
      <c r="G712" t="n">
        <v>491096.3</v>
      </c>
      <c r="H712" t="inlineStr">
        <is>
          <t>2025-09-30</t>
        </is>
      </c>
      <c r="I712" t="inlineStr">
        <is>
          <t>verified_original_html</t>
        </is>
      </c>
      <c r="J712" t="inlineStr">
        <is>
          <t>https://www.shzfgjj.cn/html/newxxgk/ywsjtj/228184.html</t>
        </is>
      </c>
    </row>
    <row r="713">
      <c r="A713" t="n">
        <v>2025</v>
      </c>
      <c r="B713" t="n">
        <v>9</v>
      </c>
      <c r="C713" t="inlineStr">
        <is>
          <t>闵行</t>
        </is>
      </c>
      <c r="D713" t="n">
        <v>8.18</v>
      </c>
      <c r="E713" t="n">
        <v>65.23</v>
      </c>
      <c r="F713" t="n">
        <v>1049153.19</v>
      </c>
      <c r="G713" t="n">
        <v>694723.24</v>
      </c>
      <c r="H713" t="inlineStr">
        <is>
          <t>2025-09-30</t>
        </is>
      </c>
      <c r="I713" t="inlineStr">
        <is>
          <t>verified_original_html</t>
        </is>
      </c>
      <c r="J713" t="inlineStr">
        <is>
          <t>https://www.shzfgjj.cn/html/newxxgk/ywsjtj/228184.html</t>
        </is>
      </c>
    </row>
    <row r="714">
      <c r="A714" t="n">
        <v>2025</v>
      </c>
      <c r="B714" t="n">
        <v>9</v>
      </c>
      <c r="C714" t="inlineStr">
        <is>
          <t>宝山</t>
        </is>
      </c>
      <c r="D714" t="n">
        <v>4.25</v>
      </c>
      <c r="E714" t="n">
        <v>39</v>
      </c>
      <c r="F714" t="n">
        <v>680028.3100000001</v>
      </c>
      <c r="G714" t="n">
        <v>483350.17</v>
      </c>
      <c r="H714" t="inlineStr">
        <is>
          <t>2025-09-30</t>
        </is>
      </c>
      <c r="I714" t="inlineStr">
        <is>
          <t>verified_original_html</t>
        </is>
      </c>
      <c r="J714" t="inlineStr">
        <is>
          <t>https://www.shzfgjj.cn/html/newxxgk/ywsjtj/228184.html</t>
        </is>
      </c>
    </row>
    <row r="715">
      <c r="A715" t="n">
        <v>2025</v>
      </c>
      <c r="B715" t="n">
        <v>9</v>
      </c>
      <c r="C715" t="inlineStr">
        <is>
          <t>嘉定</t>
        </is>
      </c>
      <c r="D715" t="n">
        <v>3.66</v>
      </c>
      <c r="E715" t="n">
        <v>41.94</v>
      </c>
      <c r="F715" t="n">
        <v>747382.5699999999</v>
      </c>
      <c r="G715" t="n">
        <v>490454.77</v>
      </c>
      <c r="H715" t="inlineStr">
        <is>
          <t>2025-09-30</t>
        </is>
      </c>
      <c r="I715" t="inlineStr">
        <is>
          <t>verified_original_html</t>
        </is>
      </c>
      <c r="J715" t="inlineStr">
        <is>
          <t>https://www.shzfgjj.cn/html/newxxgk/ywsjtj/228184.html</t>
        </is>
      </c>
    </row>
    <row r="716">
      <c r="A716" t="n">
        <v>2025</v>
      </c>
      <c r="B716" t="n">
        <v>9</v>
      </c>
      <c r="C716" t="inlineStr">
        <is>
          <t>浦东</t>
        </is>
      </c>
      <c r="D716" t="n">
        <v>10.9</v>
      </c>
      <c r="E716" t="n">
        <v>165.89</v>
      </c>
      <c r="F716" t="n">
        <v>3747517.93</v>
      </c>
      <c r="G716" t="n">
        <v>2447026.32</v>
      </c>
      <c r="H716" t="inlineStr">
        <is>
          <t>2025-09-30</t>
        </is>
      </c>
      <c r="I716" t="inlineStr">
        <is>
          <t>verified_original_html</t>
        </is>
      </c>
      <c r="J716" t="inlineStr">
        <is>
          <t>https://www.shzfgjj.cn/html/newxxgk/ywsjtj/228184.html</t>
        </is>
      </c>
    </row>
    <row r="717">
      <c r="A717" t="n">
        <v>2025</v>
      </c>
      <c r="B717" t="n">
        <v>9</v>
      </c>
      <c r="C717" t="inlineStr">
        <is>
          <t>奉贤</t>
        </is>
      </c>
      <c r="D717" t="n">
        <v>2.57</v>
      </c>
      <c r="E717" t="n">
        <v>23.03</v>
      </c>
      <c r="F717" t="n">
        <v>326595.49</v>
      </c>
      <c r="G717" t="n">
        <v>214967.57</v>
      </c>
      <c r="H717" t="inlineStr">
        <is>
          <t>2025-09-30</t>
        </is>
      </c>
      <c r="I717" t="inlineStr">
        <is>
          <t>verified_original_html</t>
        </is>
      </c>
      <c r="J717" t="inlineStr">
        <is>
          <t>https://www.shzfgjj.cn/html/newxxgk/ywsjtj/228184.html</t>
        </is>
      </c>
    </row>
    <row r="718">
      <c r="A718" t="n">
        <v>2025</v>
      </c>
      <c r="B718" t="n">
        <v>9</v>
      </c>
      <c r="C718" t="inlineStr">
        <is>
          <t>松江</t>
        </is>
      </c>
      <c r="D718" t="n">
        <v>3.96</v>
      </c>
      <c r="E718" t="n">
        <v>40.75</v>
      </c>
      <c r="F718" t="n">
        <v>552538.87</v>
      </c>
      <c r="G718" t="n">
        <v>364747</v>
      </c>
      <c r="H718" t="inlineStr">
        <is>
          <t>2025-09-30</t>
        </is>
      </c>
      <c r="I718" t="inlineStr">
        <is>
          <t>verified_original_html</t>
        </is>
      </c>
      <c r="J718" t="inlineStr">
        <is>
          <t>https://www.shzfgjj.cn/html/newxxgk/ywsjtj/228184.html</t>
        </is>
      </c>
    </row>
    <row r="719">
      <c r="A719" t="n">
        <v>2025</v>
      </c>
      <c r="B719" t="n">
        <v>9</v>
      </c>
      <c r="C719" t="inlineStr">
        <is>
          <t>金山</t>
        </is>
      </c>
      <c r="D719" t="n">
        <v>1.61</v>
      </c>
      <c r="E719" t="n">
        <v>19.51</v>
      </c>
      <c r="F719" t="n">
        <v>296562.83</v>
      </c>
      <c r="G719" t="n">
        <v>218680.77</v>
      </c>
      <c r="H719" t="inlineStr">
        <is>
          <t>2025-09-30</t>
        </is>
      </c>
      <c r="I719" t="inlineStr">
        <is>
          <t>verified_original_html</t>
        </is>
      </c>
      <c r="J719" t="inlineStr">
        <is>
          <t>https://www.shzfgjj.cn/html/newxxgk/ywsjtj/228184.html</t>
        </is>
      </c>
    </row>
    <row r="720">
      <c r="A720" t="n">
        <v>2025</v>
      </c>
      <c r="B720" t="n">
        <v>9</v>
      </c>
      <c r="C720" t="inlineStr">
        <is>
          <t>青浦</t>
        </is>
      </c>
      <c r="D720" t="n">
        <v>2.1</v>
      </c>
      <c r="E720" t="n">
        <v>26.8</v>
      </c>
      <c r="F720" t="n">
        <v>395298.91</v>
      </c>
      <c r="G720" t="n">
        <v>257483.66</v>
      </c>
      <c r="H720" t="inlineStr">
        <is>
          <t>2025-09-30</t>
        </is>
      </c>
      <c r="I720" t="inlineStr">
        <is>
          <t>verified_original_html</t>
        </is>
      </c>
      <c r="J720" t="inlineStr">
        <is>
          <t>https://www.shzfgjj.cn/html/newxxgk/ywsjtj/228184.html</t>
        </is>
      </c>
    </row>
    <row r="721">
      <c r="A721" t="n">
        <v>2025</v>
      </c>
      <c r="B721" t="n">
        <v>9</v>
      </c>
      <c r="C721" t="inlineStr">
        <is>
          <t>崇明</t>
        </is>
      </c>
      <c r="D721" t="n">
        <v>0.42</v>
      </c>
      <c r="E721" t="n">
        <v>7.19</v>
      </c>
      <c r="F721" t="n">
        <v>129420.09</v>
      </c>
      <c r="G721" t="n">
        <v>94839.97</v>
      </c>
      <c r="H721" t="inlineStr">
        <is>
          <t>2025-09-30</t>
        </is>
      </c>
      <c r="I721" t="inlineStr">
        <is>
          <t>verified_original_html</t>
        </is>
      </c>
      <c r="J721" t="inlineStr">
        <is>
          <t>https://www.shzfgjj.cn/html/newxxgk/ywsjtj/228184.html</t>
        </is>
      </c>
    </row>
    <row r="722">
      <c r="A722" t="n">
        <v>2025</v>
      </c>
      <c r="B722" t="n">
        <v>10</v>
      </c>
      <c r="C722" t="inlineStr">
        <is>
          <t>黄浦</t>
        </is>
      </c>
      <c r="D722" t="n">
        <v>3.62</v>
      </c>
      <c r="E722" t="n">
        <v>116.61</v>
      </c>
      <c r="F722" t="n">
        <v>4534025.7</v>
      </c>
      <c r="G722" t="n">
        <v>4867108.49</v>
      </c>
      <c r="H722" t="inlineStr">
        <is>
          <t>2025-10-31</t>
        </is>
      </c>
      <c r="I722" t="inlineStr">
        <is>
          <t>verified_original_html</t>
        </is>
      </c>
      <c r="J722" t="inlineStr">
        <is>
          <t>https://www.shzfgjj.cn/html/newxxgk/ywsjtj/228222.html</t>
        </is>
      </c>
    </row>
    <row r="723">
      <c r="A723" t="n">
        <v>2025</v>
      </c>
      <c r="B723" t="n">
        <v>10</v>
      </c>
      <c r="C723" t="inlineStr">
        <is>
          <t>徐汇</t>
        </is>
      </c>
      <c r="D723" t="n">
        <v>5.77</v>
      </c>
      <c r="E723" t="n">
        <v>91.45</v>
      </c>
      <c r="F723" t="n">
        <v>2614815.56</v>
      </c>
      <c r="G723" t="n">
        <v>1682766.29</v>
      </c>
      <c r="H723" t="inlineStr">
        <is>
          <t>2025-10-31</t>
        </is>
      </c>
      <c r="I723" t="inlineStr">
        <is>
          <t>verified_original_html</t>
        </is>
      </c>
      <c r="J723" t="inlineStr">
        <is>
          <t>https://www.shzfgjj.cn/html/newxxgk/ywsjtj/228222.html</t>
        </is>
      </c>
    </row>
    <row r="724">
      <c r="A724" t="n">
        <v>2025</v>
      </c>
      <c r="B724" t="n">
        <v>10</v>
      </c>
      <c r="C724" t="inlineStr">
        <is>
          <t>长宁</t>
        </is>
      </c>
      <c r="D724" t="n">
        <v>2.54</v>
      </c>
      <c r="E724" t="n">
        <v>51.98</v>
      </c>
      <c r="F724" t="n">
        <v>1349719.12</v>
      </c>
      <c r="G724" t="n">
        <v>881959.85</v>
      </c>
      <c r="H724" t="inlineStr">
        <is>
          <t>2025-10-31</t>
        </is>
      </c>
      <c r="I724" t="inlineStr">
        <is>
          <t>verified_original_html</t>
        </is>
      </c>
      <c r="J724" t="inlineStr">
        <is>
          <t>https://www.shzfgjj.cn/html/newxxgk/ywsjtj/228222.html</t>
        </is>
      </c>
    </row>
    <row r="725">
      <c r="A725" t="n">
        <v>2025</v>
      </c>
      <c r="B725" t="n">
        <v>10</v>
      </c>
      <c r="C725" t="inlineStr">
        <is>
          <t>静安</t>
        </is>
      </c>
      <c r="D725" t="n">
        <v>4.08</v>
      </c>
      <c r="E725" t="n">
        <v>63.03</v>
      </c>
      <c r="F725" t="n">
        <v>1518670.94</v>
      </c>
      <c r="G725" t="n">
        <v>993651.53</v>
      </c>
      <c r="H725" t="inlineStr">
        <is>
          <t>2025-10-31</t>
        </is>
      </c>
      <c r="I725" t="inlineStr">
        <is>
          <t>verified_original_html</t>
        </is>
      </c>
      <c r="J725" t="inlineStr">
        <is>
          <t>https://www.shzfgjj.cn/html/newxxgk/ywsjtj/228222.html</t>
        </is>
      </c>
    </row>
    <row r="726">
      <c r="A726" t="n">
        <v>2025</v>
      </c>
      <c r="B726" t="n">
        <v>10</v>
      </c>
      <c r="C726" t="inlineStr">
        <is>
          <t>普陀</t>
        </is>
      </c>
      <c r="D726" t="n">
        <v>3.8</v>
      </c>
      <c r="E726" t="n">
        <v>34.71</v>
      </c>
      <c r="F726" t="n">
        <v>654636.55</v>
      </c>
      <c r="G726" t="n">
        <v>428181.07</v>
      </c>
      <c r="H726" t="inlineStr">
        <is>
          <t>2025-10-31</t>
        </is>
      </c>
      <c r="I726" t="inlineStr">
        <is>
          <t>verified_original_html</t>
        </is>
      </c>
      <c r="J726" t="inlineStr">
        <is>
          <t>https://www.shzfgjj.cn/html/newxxgk/ywsjtj/228222.html</t>
        </is>
      </c>
    </row>
    <row r="727">
      <c r="A727" t="n">
        <v>2025</v>
      </c>
      <c r="B727" t="n">
        <v>10</v>
      </c>
      <c r="C727" t="inlineStr">
        <is>
          <t>虹口</t>
        </is>
      </c>
      <c r="D727" t="n">
        <v>2.42</v>
      </c>
      <c r="E727" t="n">
        <v>28.54</v>
      </c>
      <c r="F727" t="n">
        <v>646410.3</v>
      </c>
      <c r="G727" t="n">
        <v>429184.18</v>
      </c>
      <c r="H727" t="inlineStr">
        <is>
          <t>2025-10-31</t>
        </is>
      </c>
      <c r="I727" t="inlineStr">
        <is>
          <t>verified_original_html</t>
        </is>
      </c>
      <c r="J727" t="inlineStr">
        <is>
          <t>https://www.shzfgjj.cn/html/newxxgk/ywsjtj/228222.html</t>
        </is>
      </c>
    </row>
    <row r="728">
      <c r="A728" t="n">
        <v>2025</v>
      </c>
      <c r="B728" t="n">
        <v>10</v>
      </c>
      <c r="C728" t="inlineStr">
        <is>
          <t>杨浦</t>
        </is>
      </c>
      <c r="D728" t="n">
        <v>2.61</v>
      </c>
      <c r="E728" t="n">
        <v>32.48</v>
      </c>
      <c r="F728" t="n">
        <v>828199.35</v>
      </c>
      <c r="G728" t="n">
        <v>540042.39</v>
      </c>
      <c r="H728" t="inlineStr">
        <is>
          <t>2025-10-31</t>
        </is>
      </c>
      <c r="I728" t="inlineStr">
        <is>
          <t>verified_original_html</t>
        </is>
      </c>
      <c r="J728" t="inlineStr">
        <is>
          <t>https://www.shzfgjj.cn/html/newxxgk/ywsjtj/228222.html</t>
        </is>
      </c>
    </row>
    <row r="729">
      <c r="A729" t="n">
        <v>2025</v>
      </c>
      <c r="B729" t="n">
        <v>10</v>
      </c>
      <c r="C729" t="inlineStr">
        <is>
          <t>闵行</t>
        </is>
      </c>
      <c r="D729" t="n">
        <v>8.25</v>
      </c>
      <c r="E729" t="n">
        <v>65.55</v>
      </c>
      <c r="F729" t="n">
        <v>1170466.3</v>
      </c>
      <c r="G729" t="n">
        <v>761671.3</v>
      </c>
      <c r="H729" t="inlineStr">
        <is>
          <t>2025-10-31</t>
        </is>
      </c>
      <c r="I729" t="inlineStr">
        <is>
          <t>verified_original_html</t>
        </is>
      </c>
      <c r="J729" t="inlineStr">
        <is>
          <t>https://www.shzfgjj.cn/html/newxxgk/ywsjtj/228222.html</t>
        </is>
      </c>
    </row>
    <row r="730">
      <c r="A730" t="n">
        <v>2025</v>
      </c>
      <c r="B730" t="n">
        <v>10</v>
      </c>
      <c r="C730" t="inlineStr">
        <is>
          <t>宝山</t>
        </is>
      </c>
      <c r="D730" t="n">
        <v>4.27</v>
      </c>
      <c r="E730" t="n">
        <v>39.05</v>
      </c>
      <c r="F730" t="n">
        <v>757154.61</v>
      </c>
      <c r="G730" t="n">
        <v>530856.7</v>
      </c>
      <c r="H730" t="inlineStr">
        <is>
          <t>2025-10-31</t>
        </is>
      </c>
      <c r="I730" t="inlineStr">
        <is>
          <t>verified_original_html</t>
        </is>
      </c>
      <c r="J730" t="inlineStr">
        <is>
          <t>https://www.shzfgjj.cn/html/newxxgk/ywsjtj/228222.html</t>
        </is>
      </c>
    </row>
    <row r="731">
      <c r="A731" t="n">
        <v>2025</v>
      </c>
      <c r="B731" t="n">
        <v>10</v>
      </c>
      <c r="C731" t="inlineStr">
        <is>
          <t>嘉定</t>
        </is>
      </c>
      <c r="D731" t="n">
        <v>3.68</v>
      </c>
      <c r="E731" t="n">
        <v>42.01</v>
      </c>
      <c r="F731" t="n">
        <v>831729.63</v>
      </c>
      <c r="G731" t="n">
        <v>534104.48</v>
      </c>
      <c r="H731" t="inlineStr">
        <is>
          <t>2025-10-31</t>
        </is>
      </c>
      <c r="I731" t="inlineStr">
        <is>
          <t>verified_original_html</t>
        </is>
      </c>
      <c r="J731" t="inlineStr">
        <is>
          <t>https://www.shzfgjj.cn/html/newxxgk/ywsjtj/228222.html</t>
        </is>
      </c>
    </row>
    <row r="732">
      <c r="A732" t="n">
        <v>2025</v>
      </c>
      <c r="B732" t="n">
        <v>10</v>
      </c>
      <c r="C732" t="inlineStr">
        <is>
          <t>浦东</t>
        </is>
      </c>
      <c r="D732" t="n">
        <v>10.93</v>
      </c>
      <c r="E732" t="n">
        <v>165.5</v>
      </c>
      <c r="F732" t="n">
        <v>4177071.11</v>
      </c>
      <c r="G732" t="n">
        <v>2677271.85</v>
      </c>
      <c r="H732" t="inlineStr">
        <is>
          <t>2025-10-31</t>
        </is>
      </c>
      <c r="I732" t="inlineStr">
        <is>
          <t>verified_original_html</t>
        </is>
      </c>
      <c r="J732" t="inlineStr">
        <is>
          <t>https://www.shzfgjj.cn/html/newxxgk/ywsjtj/228222.html</t>
        </is>
      </c>
    </row>
    <row r="733">
      <c r="A733" t="n">
        <v>2025</v>
      </c>
      <c r="B733" t="n">
        <v>10</v>
      </c>
      <c r="C733" t="inlineStr">
        <is>
          <t>奉贤</t>
        </is>
      </c>
      <c r="D733" t="n">
        <v>2.58</v>
      </c>
      <c r="E733" t="n">
        <v>23.05</v>
      </c>
      <c r="F733" t="n">
        <v>364174.31</v>
      </c>
      <c r="G733" t="n">
        <v>235202.16</v>
      </c>
      <c r="H733" t="inlineStr">
        <is>
          <t>2025-10-31</t>
        </is>
      </c>
      <c r="I733" t="inlineStr">
        <is>
          <t>verified_original_html</t>
        </is>
      </c>
      <c r="J733" t="inlineStr">
        <is>
          <t>https://www.shzfgjj.cn/html/newxxgk/ywsjtj/228222.html</t>
        </is>
      </c>
    </row>
    <row r="734">
      <c r="A734" t="n">
        <v>2025</v>
      </c>
      <c r="B734" t="n">
        <v>10</v>
      </c>
      <c r="C734" t="inlineStr">
        <is>
          <t>松江</t>
        </is>
      </c>
      <c r="D734" t="n">
        <v>3.98</v>
      </c>
      <c r="E734" t="n">
        <v>40.76</v>
      </c>
      <c r="F734" t="n">
        <v>615533.4300000001</v>
      </c>
      <c r="G734" t="n">
        <v>399561.84</v>
      </c>
      <c r="H734" t="inlineStr">
        <is>
          <t>2025-10-31</t>
        </is>
      </c>
      <c r="I734" t="inlineStr">
        <is>
          <t>verified_original_html</t>
        </is>
      </c>
      <c r="J734" t="inlineStr">
        <is>
          <t>https://www.shzfgjj.cn/html/newxxgk/ywsjtj/228222.html</t>
        </is>
      </c>
    </row>
    <row r="735">
      <c r="A735" t="n">
        <v>2025</v>
      </c>
      <c r="B735" t="n">
        <v>10</v>
      </c>
      <c r="C735" t="inlineStr">
        <is>
          <t>金山</t>
        </is>
      </c>
      <c r="D735" t="n">
        <v>1.62</v>
      </c>
      <c r="E735" t="n">
        <v>19.54</v>
      </c>
      <c r="F735" t="n">
        <v>330443.53</v>
      </c>
      <c r="G735" t="n">
        <v>237481.18</v>
      </c>
      <c r="H735" t="inlineStr">
        <is>
          <t>2025-10-31</t>
        </is>
      </c>
      <c r="I735" t="inlineStr">
        <is>
          <t>verified_original_html</t>
        </is>
      </c>
      <c r="J735" t="inlineStr">
        <is>
          <t>https://www.shzfgjj.cn/html/newxxgk/ywsjtj/228222.html</t>
        </is>
      </c>
    </row>
    <row r="736">
      <c r="A736" t="n">
        <v>2025</v>
      </c>
      <c r="B736" t="n">
        <v>10</v>
      </c>
      <c r="C736" t="inlineStr">
        <is>
          <t>青浦</t>
        </is>
      </c>
      <c r="D736" t="n">
        <v>2.11</v>
      </c>
      <c r="E736" t="n">
        <v>26.84</v>
      </c>
      <c r="F736" t="n">
        <v>440778.97</v>
      </c>
      <c r="G736" t="n">
        <v>281836.44</v>
      </c>
      <c r="H736" t="inlineStr">
        <is>
          <t>2025-10-31</t>
        </is>
      </c>
      <c r="I736" t="inlineStr">
        <is>
          <t>verified_original_html</t>
        </is>
      </c>
      <c r="J736" t="inlineStr">
        <is>
          <t>https://www.shzfgjj.cn/html/newxxgk/ywsjtj/228222.html</t>
        </is>
      </c>
    </row>
    <row r="737">
      <c r="A737" t="n">
        <v>2025</v>
      </c>
      <c r="B737" t="n">
        <v>10</v>
      </c>
      <c r="C737" t="inlineStr">
        <is>
          <t>崇明</t>
        </is>
      </c>
      <c r="D737" t="n">
        <v>0.42</v>
      </c>
      <c r="E737" t="n">
        <v>7.16</v>
      </c>
      <c r="F737" t="n">
        <v>144179.64</v>
      </c>
      <c r="G737" t="n">
        <v>103374.43</v>
      </c>
      <c r="H737" t="inlineStr">
        <is>
          <t>2025-10-31</t>
        </is>
      </c>
      <c r="I737" t="inlineStr">
        <is>
          <t>verified_original_html</t>
        </is>
      </c>
      <c r="J737" t="inlineStr">
        <is>
          <t>https://www.shzfgjj.cn/html/newxxgk/ywsjtj/228222.html</t>
        </is>
      </c>
    </row>
    <row r="738">
      <c r="A738" t="n">
        <v>2025</v>
      </c>
      <c r="B738" t="n">
        <v>11</v>
      </c>
      <c r="C738" t="inlineStr">
        <is>
          <t>黄浦</t>
        </is>
      </c>
      <c r="D738" t="n">
        <v>3.62</v>
      </c>
      <c r="E738" t="n">
        <v>116.51</v>
      </c>
      <c r="F738" t="n">
        <v>4988469.38</v>
      </c>
      <c r="G738" t="n">
        <v>5310396.12</v>
      </c>
      <c r="H738" t="inlineStr">
        <is>
          <t>2025-11-30</t>
        </is>
      </c>
      <c r="I738" t="inlineStr">
        <is>
          <t>verified_original_html</t>
        </is>
      </c>
      <c r="J738" t="inlineStr">
        <is>
          <t>https://www.shzfgjj.cn/html/newxxgk/ywsjtj/228246.html</t>
        </is>
      </c>
    </row>
    <row r="739">
      <c r="A739" t="n">
        <v>2025</v>
      </c>
      <c r="B739" t="n">
        <v>11</v>
      </c>
      <c r="C739" t="inlineStr">
        <is>
          <t>徐汇</t>
        </is>
      </c>
      <c r="D739" t="n">
        <v>5.78</v>
      </c>
      <c r="E739" t="n">
        <v>91.51000000000001</v>
      </c>
      <c r="F739" t="n">
        <v>2884005.22</v>
      </c>
      <c r="G739" t="n">
        <v>1840895.11</v>
      </c>
      <c r="H739" t="inlineStr">
        <is>
          <t>2025-11-30</t>
        </is>
      </c>
      <c r="I739" t="inlineStr">
        <is>
          <t>verified_original_html</t>
        </is>
      </c>
      <c r="J739" t="inlineStr">
        <is>
          <t>https://www.shzfgjj.cn/html/newxxgk/ywsjtj/228246.html</t>
        </is>
      </c>
    </row>
    <row r="740">
      <c r="A740" t="n">
        <v>2025</v>
      </c>
      <c r="B740" t="n">
        <v>11</v>
      </c>
      <c r="C740" t="inlineStr">
        <is>
          <t>长宁</t>
        </is>
      </c>
      <c r="D740" t="n">
        <v>2.54</v>
      </c>
      <c r="E740" t="n">
        <v>52.07</v>
      </c>
      <c r="F740" t="n">
        <v>1499738.9</v>
      </c>
      <c r="G740" t="n">
        <v>964983.08</v>
      </c>
      <c r="H740" t="inlineStr">
        <is>
          <t>2025-11-30</t>
        </is>
      </c>
      <c r="I740" t="inlineStr">
        <is>
          <t>verified_original_html</t>
        </is>
      </c>
      <c r="J740" t="inlineStr">
        <is>
          <t>https://www.shzfgjj.cn/html/newxxgk/ywsjtj/228246.html</t>
        </is>
      </c>
    </row>
    <row r="741">
      <c r="A741" t="n">
        <v>2025</v>
      </c>
      <c r="B741" t="n">
        <v>11</v>
      </c>
      <c r="C741" t="inlineStr">
        <is>
          <t>静安</t>
        </is>
      </c>
      <c r="D741" t="n">
        <v>4.09</v>
      </c>
      <c r="E741" t="n">
        <v>62.91</v>
      </c>
      <c r="F741" t="n">
        <v>1673831.57</v>
      </c>
      <c r="G741" t="n">
        <v>1089283.81</v>
      </c>
      <c r="H741" t="inlineStr">
        <is>
          <t>2025-11-30</t>
        </is>
      </c>
      <c r="I741" t="inlineStr">
        <is>
          <t>verified_original_html</t>
        </is>
      </c>
      <c r="J741" t="inlineStr">
        <is>
          <t>https://www.shzfgjj.cn/html/newxxgk/ywsjtj/228246.html</t>
        </is>
      </c>
    </row>
    <row r="742">
      <c r="A742" t="n">
        <v>2025</v>
      </c>
      <c r="B742" t="n">
        <v>11</v>
      </c>
      <c r="C742" t="inlineStr">
        <is>
          <t>普陀</t>
        </is>
      </c>
      <c r="D742" t="n">
        <v>3.81</v>
      </c>
      <c r="E742" t="n">
        <v>34.75</v>
      </c>
      <c r="F742" t="n">
        <v>720672.38</v>
      </c>
      <c r="G742" t="n">
        <v>467789.83</v>
      </c>
      <c r="H742" t="inlineStr">
        <is>
          <t>2025-11-30</t>
        </is>
      </c>
      <c r="I742" t="inlineStr">
        <is>
          <t>verified_original_html</t>
        </is>
      </c>
      <c r="J742" t="inlineStr">
        <is>
          <t>https://www.shzfgjj.cn/html/newxxgk/ywsjtj/228246.html</t>
        </is>
      </c>
    </row>
    <row r="743">
      <c r="A743" t="n">
        <v>2025</v>
      </c>
      <c r="B743" t="n">
        <v>11</v>
      </c>
      <c r="C743" t="inlineStr">
        <is>
          <t>虹口</t>
        </is>
      </c>
      <c r="D743" t="n">
        <v>2.42</v>
      </c>
      <c r="E743" t="n">
        <v>28.65</v>
      </c>
      <c r="F743" t="n">
        <v>711413.8</v>
      </c>
      <c r="G743" t="n">
        <v>469287.01</v>
      </c>
      <c r="H743" t="inlineStr">
        <is>
          <t>2025-11-30</t>
        </is>
      </c>
      <c r="I743" t="inlineStr">
        <is>
          <t>verified_original_html</t>
        </is>
      </c>
      <c r="J743" t="inlineStr">
        <is>
          <t>https://www.shzfgjj.cn/html/newxxgk/ywsjtj/228246.html</t>
        </is>
      </c>
    </row>
    <row r="744">
      <c r="A744" t="n">
        <v>2025</v>
      </c>
      <c r="B744" t="n">
        <v>11</v>
      </c>
      <c r="C744" t="inlineStr">
        <is>
          <t>杨浦</t>
        </is>
      </c>
      <c r="D744" t="n">
        <v>2.61</v>
      </c>
      <c r="E744" t="n">
        <v>32.5</v>
      </c>
      <c r="F744" t="n">
        <v>913424.1899999999</v>
      </c>
      <c r="G744" t="n">
        <v>593780.28</v>
      </c>
      <c r="H744" t="inlineStr">
        <is>
          <t>2025-11-30</t>
        </is>
      </c>
      <c r="I744" t="inlineStr">
        <is>
          <t>verified_original_html</t>
        </is>
      </c>
      <c r="J744" t="inlineStr">
        <is>
          <t>https://www.shzfgjj.cn/html/newxxgk/ywsjtj/228246.html</t>
        </is>
      </c>
    </row>
    <row r="745">
      <c r="A745" t="n">
        <v>2025</v>
      </c>
      <c r="B745" t="n">
        <v>11</v>
      </c>
      <c r="C745" t="inlineStr">
        <is>
          <t>闵行</t>
        </is>
      </c>
      <c r="D745" t="n">
        <v>8.32</v>
      </c>
      <c r="E745" t="n">
        <v>65.79000000000001</v>
      </c>
      <c r="F745" t="n">
        <v>1294095.09</v>
      </c>
      <c r="G745" t="n">
        <v>832249.34</v>
      </c>
      <c r="H745" t="inlineStr">
        <is>
          <t>2025-11-30</t>
        </is>
      </c>
      <c r="I745" t="inlineStr">
        <is>
          <t>verified_original_html</t>
        </is>
      </c>
      <c r="J745" t="inlineStr">
        <is>
          <t>https://www.shzfgjj.cn/html/newxxgk/ywsjtj/228246.html</t>
        </is>
      </c>
    </row>
    <row r="746">
      <c r="A746" t="n">
        <v>2025</v>
      </c>
      <c r="B746" t="n">
        <v>11</v>
      </c>
      <c r="C746" t="inlineStr">
        <is>
          <t>宝山</t>
        </is>
      </c>
      <c r="D746" t="n">
        <v>4.28</v>
      </c>
      <c r="E746" t="n">
        <v>39.15</v>
      </c>
      <c r="F746" t="n">
        <v>832954.25</v>
      </c>
      <c r="G746" t="n">
        <v>578962.92</v>
      </c>
      <c r="H746" t="inlineStr">
        <is>
          <t>2025-11-30</t>
        </is>
      </c>
      <c r="I746" t="inlineStr">
        <is>
          <t>verified_original_html</t>
        </is>
      </c>
      <c r="J746" t="inlineStr">
        <is>
          <t>https://www.shzfgjj.cn/html/newxxgk/ywsjtj/228246.html</t>
        </is>
      </c>
    </row>
    <row r="747">
      <c r="A747" t="n">
        <v>2025</v>
      </c>
      <c r="B747" t="n">
        <v>11</v>
      </c>
      <c r="C747" t="inlineStr">
        <is>
          <t>嘉定</t>
        </is>
      </c>
      <c r="D747" t="n">
        <v>3.7</v>
      </c>
      <c r="E747" t="n">
        <v>42.03</v>
      </c>
      <c r="F747" t="n">
        <v>915647.9</v>
      </c>
      <c r="G747" t="n">
        <v>581773.62</v>
      </c>
      <c r="H747" t="inlineStr">
        <is>
          <t>2025-11-30</t>
        </is>
      </c>
      <c r="I747" t="inlineStr">
        <is>
          <t>verified_original_html</t>
        </is>
      </c>
      <c r="J747" t="inlineStr">
        <is>
          <t>https://www.shzfgjj.cn/html/newxxgk/ywsjtj/228246.html</t>
        </is>
      </c>
    </row>
    <row r="748">
      <c r="A748" t="n">
        <v>2025</v>
      </c>
      <c r="B748" t="n">
        <v>11</v>
      </c>
      <c r="C748" t="inlineStr">
        <is>
          <t>浦东</t>
        </is>
      </c>
      <c r="D748" t="n">
        <v>10.97</v>
      </c>
      <c r="E748" t="n">
        <v>165.71</v>
      </c>
      <c r="F748" t="n">
        <v>4603800.99</v>
      </c>
      <c r="G748" t="n">
        <v>2922551.91</v>
      </c>
      <c r="H748" t="inlineStr">
        <is>
          <t>2025-11-30</t>
        </is>
      </c>
      <c r="I748" t="inlineStr">
        <is>
          <t>verified_original_html</t>
        </is>
      </c>
      <c r="J748" t="inlineStr">
        <is>
          <t>https://www.shzfgjj.cn/html/newxxgk/ywsjtj/228246.html</t>
        </is>
      </c>
    </row>
    <row r="749">
      <c r="A749" t="n">
        <v>2025</v>
      </c>
      <c r="B749" t="n">
        <v>11</v>
      </c>
      <c r="C749" t="inlineStr">
        <is>
          <t>奉贤</t>
        </is>
      </c>
      <c r="D749" t="n">
        <v>2.59</v>
      </c>
      <c r="E749" t="n">
        <v>23.06</v>
      </c>
      <c r="F749" t="n">
        <v>401402.11</v>
      </c>
      <c r="G749" t="n">
        <v>255761.47</v>
      </c>
      <c r="H749" t="inlineStr">
        <is>
          <t>2025-11-30</t>
        </is>
      </c>
      <c r="I749" t="inlineStr">
        <is>
          <t>verified_original_html</t>
        </is>
      </c>
      <c r="J749" t="inlineStr">
        <is>
          <t>https://www.shzfgjj.cn/html/newxxgk/ywsjtj/228246.html</t>
        </is>
      </c>
    </row>
    <row r="750">
      <c r="A750" t="n">
        <v>2025</v>
      </c>
      <c r="B750" t="n">
        <v>11</v>
      </c>
      <c r="C750" t="inlineStr">
        <is>
          <t>松江</t>
        </is>
      </c>
      <c r="D750" t="n">
        <v>3.99</v>
      </c>
      <c r="E750" t="n">
        <v>40.89</v>
      </c>
      <c r="F750" t="n">
        <v>678260.14</v>
      </c>
      <c r="G750" t="n">
        <v>436113.23</v>
      </c>
      <c r="H750" t="inlineStr">
        <is>
          <t>2025-11-30</t>
        </is>
      </c>
      <c r="I750" t="inlineStr">
        <is>
          <t>verified_original_html</t>
        </is>
      </c>
      <c r="J750" t="inlineStr">
        <is>
          <t>https://www.shzfgjj.cn/html/newxxgk/ywsjtj/228246.html</t>
        </is>
      </c>
    </row>
    <row r="751">
      <c r="A751" t="n">
        <v>2025</v>
      </c>
      <c r="B751" t="n">
        <v>11</v>
      </c>
      <c r="C751" t="inlineStr">
        <is>
          <t>金山</t>
        </is>
      </c>
      <c r="D751" t="n">
        <v>1.62</v>
      </c>
      <c r="E751" t="n">
        <v>19.55</v>
      </c>
      <c r="F751" t="n">
        <v>364231.73</v>
      </c>
      <c r="G751" t="n">
        <v>258178.07</v>
      </c>
      <c r="H751" t="inlineStr">
        <is>
          <t>2025-11-30</t>
        </is>
      </c>
      <c r="I751" t="inlineStr">
        <is>
          <t>verified_original_html</t>
        </is>
      </c>
      <c r="J751" t="inlineStr">
        <is>
          <t>https://www.shzfgjj.cn/html/newxxgk/ywsjtj/228246.html</t>
        </is>
      </c>
    </row>
    <row r="752">
      <c r="A752" t="n">
        <v>2025</v>
      </c>
      <c r="B752" t="n">
        <v>11</v>
      </c>
      <c r="C752" t="inlineStr">
        <is>
          <t>青浦</t>
        </is>
      </c>
      <c r="D752" t="n">
        <v>2.12</v>
      </c>
      <c r="E752" t="n">
        <v>27.01</v>
      </c>
      <c r="F752" t="n">
        <v>486759.57</v>
      </c>
      <c r="G752" t="n">
        <v>308097.23</v>
      </c>
      <c r="H752" t="inlineStr">
        <is>
          <t>2025-11-30</t>
        </is>
      </c>
      <c r="I752" t="inlineStr">
        <is>
          <t>verified_original_html</t>
        </is>
      </c>
      <c r="J752" t="inlineStr">
        <is>
          <t>https://www.shzfgjj.cn/html/newxxgk/ywsjtj/228246.html</t>
        </is>
      </c>
    </row>
    <row r="753">
      <c r="A753" t="n">
        <v>2025</v>
      </c>
      <c r="B753" t="n">
        <v>11</v>
      </c>
      <c r="C753" t="inlineStr">
        <is>
          <t>崇明</t>
        </is>
      </c>
      <c r="D753" t="n">
        <v>0.43</v>
      </c>
      <c r="E753" t="n">
        <v>7.01</v>
      </c>
      <c r="F753" t="n">
        <v>158446.6</v>
      </c>
      <c r="G753" t="n">
        <v>112106.6</v>
      </c>
      <c r="H753" t="inlineStr">
        <is>
          <t>2025-11-30</t>
        </is>
      </c>
      <c r="I753" t="inlineStr">
        <is>
          <t>verified_original_html</t>
        </is>
      </c>
      <c r="J753" t="inlineStr">
        <is>
          <t>https://www.shzfgjj.cn/html/newxxgk/ywsjtj/228246.html</t>
        </is>
      </c>
    </row>
    <row r="754">
      <c r="A754" t="n">
        <v>2025</v>
      </c>
      <c r="B754" t="n">
        <v>12</v>
      </c>
      <c r="C754" t="inlineStr">
        <is>
          <t>黄浦</t>
        </is>
      </c>
      <c r="D754" t="n">
        <v>3.62</v>
      </c>
      <c r="E754" t="n">
        <v>115.89</v>
      </c>
      <c r="F754" t="n">
        <v>5447778.23</v>
      </c>
      <c r="G754" t="n">
        <v>5755942.84</v>
      </c>
      <c r="H754" t="inlineStr">
        <is>
          <t>2025-12-31</t>
        </is>
      </c>
      <c r="I754" t="inlineStr">
        <is>
          <t>verified_original_html</t>
        </is>
      </c>
      <c r="J754" t="inlineStr">
        <is>
          <t>https://www.shzfgjj.cn/html/newxxgk/ywsjtj/228264.html</t>
        </is>
      </c>
    </row>
    <row r="755">
      <c r="A755" t="n">
        <v>2025</v>
      </c>
      <c r="B755" t="n">
        <v>12</v>
      </c>
      <c r="C755" t="inlineStr">
        <is>
          <t>徐汇</t>
        </is>
      </c>
      <c r="D755" t="n">
        <v>5.8</v>
      </c>
      <c r="E755" t="n">
        <v>91.79000000000001</v>
      </c>
      <c r="F755" t="n">
        <v>3165653.98</v>
      </c>
      <c r="G755" t="n">
        <v>1993661.88</v>
      </c>
      <c r="H755" t="inlineStr">
        <is>
          <t>2025-12-31</t>
        </is>
      </c>
      <c r="I755" t="inlineStr">
        <is>
          <t>verified_original_html</t>
        </is>
      </c>
      <c r="J755" t="inlineStr">
        <is>
          <t>https://www.shzfgjj.cn/html/newxxgk/ywsjtj/228264.html</t>
        </is>
      </c>
    </row>
    <row r="756">
      <c r="A756" t="n">
        <v>2025</v>
      </c>
      <c r="B756" t="n">
        <v>12</v>
      </c>
      <c r="C756" t="inlineStr">
        <is>
          <t>长宁</t>
        </is>
      </c>
      <c r="D756" t="n">
        <v>2.54</v>
      </c>
      <c r="E756" t="n">
        <v>52.45</v>
      </c>
      <c r="F756" t="n">
        <v>1644326.75</v>
      </c>
      <c r="G756" t="n">
        <v>1045032.68</v>
      </c>
      <c r="H756" t="inlineStr">
        <is>
          <t>2025-12-31</t>
        </is>
      </c>
      <c r="I756" t="inlineStr">
        <is>
          <t>verified_original_html</t>
        </is>
      </c>
      <c r="J756" t="inlineStr">
        <is>
          <t>https://www.shzfgjj.cn/html/newxxgk/ywsjtj/228264.html</t>
        </is>
      </c>
    </row>
    <row r="757">
      <c r="A757" t="n">
        <v>2025</v>
      </c>
      <c r="B757" t="n">
        <v>12</v>
      </c>
      <c r="C757" t="inlineStr">
        <is>
          <t>静安</t>
        </is>
      </c>
      <c r="D757" t="n">
        <v>4.1</v>
      </c>
      <c r="E757" t="n">
        <v>62.96</v>
      </c>
      <c r="F757" t="n">
        <v>1837986.84</v>
      </c>
      <c r="G757" t="n">
        <v>1179168.77</v>
      </c>
      <c r="H757" t="inlineStr">
        <is>
          <t>2025-12-31</t>
        </is>
      </c>
      <c r="I757" t="inlineStr">
        <is>
          <t>verified_original_html</t>
        </is>
      </c>
      <c r="J757" t="inlineStr">
        <is>
          <t>https://www.shzfgjj.cn/html/newxxgk/ywsjtj/228264.html</t>
        </is>
      </c>
    </row>
    <row r="758">
      <c r="A758" t="n">
        <v>2025</v>
      </c>
      <c r="B758" t="n">
        <v>12</v>
      </c>
      <c r="C758" t="inlineStr">
        <is>
          <t>普陀</t>
        </is>
      </c>
      <c r="D758" t="n">
        <v>3.82</v>
      </c>
      <c r="E758" t="n">
        <v>34.7</v>
      </c>
      <c r="F758" t="n">
        <v>788796.14</v>
      </c>
      <c r="G758" t="n">
        <v>506469.49</v>
      </c>
      <c r="H758" t="inlineStr">
        <is>
          <t>2025-12-31</t>
        </is>
      </c>
      <c r="I758" t="inlineStr">
        <is>
          <t>verified_original_html</t>
        </is>
      </c>
      <c r="J758" t="inlineStr">
        <is>
          <t>https://www.shzfgjj.cn/html/newxxgk/ywsjtj/228264.html</t>
        </is>
      </c>
    </row>
    <row r="759">
      <c r="A759" t="n">
        <v>2025</v>
      </c>
      <c r="B759" t="n">
        <v>12</v>
      </c>
      <c r="C759" t="inlineStr">
        <is>
          <t>虹口</t>
        </is>
      </c>
      <c r="D759" t="n">
        <v>2.42</v>
      </c>
      <c r="E759" t="n">
        <v>28.64</v>
      </c>
      <c r="F759" t="n">
        <v>779238.61</v>
      </c>
      <c r="G759" t="n">
        <v>505468.2</v>
      </c>
      <c r="H759" t="inlineStr">
        <is>
          <t>2025-12-31</t>
        </is>
      </c>
      <c r="I759" t="inlineStr">
        <is>
          <t>verified_original_html</t>
        </is>
      </c>
      <c r="J759" t="inlineStr">
        <is>
          <t>https://www.shzfgjj.cn/html/newxxgk/ywsjtj/228264.html</t>
        </is>
      </c>
    </row>
    <row r="760">
      <c r="A760" t="n">
        <v>2025</v>
      </c>
      <c r="B760" t="n">
        <v>12</v>
      </c>
      <c r="C760" t="inlineStr">
        <is>
          <t>杨浦</t>
        </is>
      </c>
      <c r="D760" t="n">
        <v>2.62</v>
      </c>
      <c r="E760" t="n">
        <v>32.51</v>
      </c>
      <c r="F760" t="n">
        <v>998976.11</v>
      </c>
      <c r="G760" t="n">
        <v>642276.73</v>
      </c>
      <c r="H760" t="inlineStr">
        <is>
          <t>2025-12-31</t>
        </is>
      </c>
      <c r="I760" t="inlineStr">
        <is>
          <t>verified_original_html</t>
        </is>
      </c>
      <c r="J760" t="inlineStr">
        <is>
          <t>https://www.shzfgjj.cn/html/newxxgk/ywsjtj/228264.html</t>
        </is>
      </c>
    </row>
    <row r="761">
      <c r="A761" t="n">
        <v>2025</v>
      </c>
      <c r="B761" t="n">
        <v>12</v>
      </c>
      <c r="C761" t="inlineStr">
        <is>
          <t>闵行</t>
        </is>
      </c>
      <c r="D761" t="n">
        <v>8.41</v>
      </c>
      <c r="E761" t="n">
        <v>66.03</v>
      </c>
      <c r="F761" t="n">
        <v>1419261.11</v>
      </c>
      <c r="G761" t="n">
        <v>901767.52</v>
      </c>
      <c r="H761" t="inlineStr">
        <is>
          <t>2025-12-31</t>
        </is>
      </c>
      <c r="I761" t="inlineStr">
        <is>
          <t>verified_original_html</t>
        </is>
      </c>
      <c r="J761" t="inlineStr">
        <is>
          <t>https://www.shzfgjj.cn/html/newxxgk/ywsjtj/228264.html</t>
        </is>
      </c>
    </row>
    <row r="762">
      <c r="A762" t="n">
        <v>2025</v>
      </c>
      <c r="B762" t="n">
        <v>12</v>
      </c>
      <c r="C762" t="inlineStr">
        <is>
          <t>宝山</t>
        </is>
      </c>
      <c r="D762" t="n">
        <v>4.3</v>
      </c>
      <c r="E762" t="n">
        <v>39.23</v>
      </c>
      <c r="F762" t="n">
        <v>911285.8199999999</v>
      </c>
      <c r="G762" t="n">
        <v>625038.72</v>
      </c>
      <c r="H762" t="inlineStr">
        <is>
          <t>2025-12-31</t>
        </is>
      </c>
      <c r="I762" t="inlineStr">
        <is>
          <t>verified_original_html</t>
        </is>
      </c>
      <c r="J762" t="inlineStr">
        <is>
          <t>https://www.shzfgjj.cn/html/newxxgk/ywsjtj/228264.html</t>
        </is>
      </c>
    </row>
    <row r="763">
      <c r="A763" t="n">
        <v>2025</v>
      </c>
      <c r="B763" t="n">
        <v>12</v>
      </c>
      <c r="C763" t="inlineStr">
        <is>
          <t>嘉定</t>
        </is>
      </c>
      <c r="D763" t="n">
        <v>3.71</v>
      </c>
      <c r="E763" t="n">
        <v>42.11</v>
      </c>
      <c r="F763" t="n">
        <v>1000903.27</v>
      </c>
      <c r="G763" t="n">
        <v>629493.7</v>
      </c>
      <c r="H763" t="inlineStr">
        <is>
          <t>2025-12-31</t>
        </is>
      </c>
      <c r="I763" t="inlineStr">
        <is>
          <t>verified_original_html</t>
        </is>
      </c>
      <c r="J763" t="inlineStr">
        <is>
          <t>https://www.shzfgjj.cn/html/newxxgk/ywsjtj/228264.html</t>
        </is>
      </c>
    </row>
    <row r="764">
      <c r="A764" t="n">
        <v>2025</v>
      </c>
      <c r="B764" t="n">
        <v>12</v>
      </c>
      <c r="C764" t="inlineStr">
        <is>
          <t>浦东</t>
        </is>
      </c>
      <c r="D764" t="n">
        <v>10.99</v>
      </c>
      <c r="E764" t="n">
        <v>165.84</v>
      </c>
      <c r="F764" t="n">
        <v>5039560.84</v>
      </c>
      <c r="G764" t="n">
        <v>3164075.46</v>
      </c>
      <c r="H764" t="inlineStr">
        <is>
          <t>2025-12-31</t>
        </is>
      </c>
      <c r="I764" t="inlineStr">
        <is>
          <t>verified_original_html</t>
        </is>
      </c>
      <c r="J764" t="inlineStr">
        <is>
          <t>https://www.shzfgjj.cn/html/newxxgk/ywsjtj/228264.html</t>
        </is>
      </c>
    </row>
    <row r="765">
      <c r="A765" t="n">
        <v>2025</v>
      </c>
      <c r="B765" t="n">
        <v>12</v>
      </c>
      <c r="C765" t="inlineStr">
        <is>
          <t>奉贤</t>
        </is>
      </c>
      <c r="D765" t="n">
        <v>2.6</v>
      </c>
      <c r="E765" t="n">
        <v>23.09</v>
      </c>
      <c r="F765" t="n">
        <v>439262.85</v>
      </c>
      <c r="G765" t="n">
        <v>275487.61</v>
      </c>
      <c r="H765" t="inlineStr">
        <is>
          <t>2025-12-31</t>
        </is>
      </c>
      <c r="I765" t="inlineStr">
        <is>
          <t>verified_original_html</t>
        </is>
      </c>
      <c r="J765" t="inlineStr">
        <is>
          <t>https://www.shzfgjj.cn/html/newxxgk/ywsjtj/228264.html</t>
        </is>
      </c>
    </row>
    <row r="766">
      <c r="A766" t="n">
        <v>2025</v>
      </c>
      <c r="B766" t="n">
        <v>12</v>
      </c>
      <c r="C766" t="inlineStr">
        <is>
          <t>松江</t>
        </is>
      </c>
      <c r="D766" t="n">
        <v>4.01</v>
      </c>
      <c r="E766" t="n">
        <v>40.91</v>
      </c>
      <c r="F766" t="n">
        <v>742304.1899999999</v>
      </c>
      <c r="G766" t="n">
        <v>472156</v>
      </c>
      <c r="H766" t="inlineStr">
        <is>
          <t>2025-12-31</t>
        </is>
      </c>
      <c r="I766" t="inlineStr">
        <is>
          <t>verified_original_html</t>
        </is>
      </c>
      <c r="J766" t="inlineStr">
        <is>
          <t>https://www.shzfgjj.cn/html/newxxgk/ywsjtj/228264.html</t>
        </is>
      </c>
    </row>
    <row r="767">
      <c r="A767" t="n">
        <v>2025</v>
      </c>
      <c r="B767" t="n">
        <v>12</v>
      </c>
      <c r="C767" t="inlineStr">
        <is>
          <t>金山</t>
        </is>
      </c>
      <c r="D767" t="n">
        <v>1.62</v>
      </c>
      <c r="E767" t="n">
        <v>19.52</v>
      </c>
      <c r="F767" t="n">
        <v>398414.97</v>
      </c>
      <c r="G767" t="n">
        <v>276598.93</v>
      </c>
      <c r="H767" t="inlineStr">
        <is>
          <t>2025-12-31</t>
        </is>
      </c>
      <c r="I767" t="inlineStr">
        <is>
          <t>verified_original_html</t>
        </is>
      </c>
      <c r="J767" t="inlineStr">
        <is>
          <t>https://www.shzfgjj.cn/html/newxxgk/ywsjtj/228264.html</t>
        </is>
      </c>
    </row>
    <row r="768">
      <c r="A768" t="n">
        <v>2025</v>
      </c>
      <c r="B768" t="n">
        <v>12</v>
      </c>
      <c r="C768" t="inlineStr">
        <is>
          <t>青浦</t>
        </is>
      </c>
      <c r="D768" t="n">
        <v>2.13</v>
      </c>
      <c r="E768" t="n">
        <v>27</v>
      </c>
      <c r="F768" t="n">
        <v>533778.88</v>
      </c>
      <c r="G768" t="n">
        <v>333402.13</v>
      </c>
      <c r="H768" t="inlineStr">
        <is>
          <t>2025-12-31</t>
        </is>
      </c>
      <c r="I768" t="inlineStr">
        <is>
          <t>verified_original_html</t>
        </is>
      </c>
      <c r="J768" t="inlineStr">
        <is>
          <t>https://www.shzfgjj.cn/html/newxxgk/ywsjtj/228264.html</t>
        </is>
      </c>
    </row>
    <row r="769">
      <c r="A769" t="n">
        <v>2025</v>
      </c>
      <c r="B769" t="n">
        <v>12</v>
      </c>
      <c r="C769" t="inlineStr">
        <is>
          <t>崇明</t>
        </is>
      </c>
      <c r="D769" t="n">
        <v>0.43</v>
      </c>
      <c r="E769" t="n">
        <v>7.02</v>
      </c>
      <c r="F769" t="n">
        <v>172921.14</v>
      </c>
      <c r="G769" t="n">
        <v>120347.31</v>
      </c>
      <c r="H769" t="inlineStr">
        <is>
          <t>2025-12-31</t>
        </is>
      </c>
      <c r="I769" t="inlineStr">
        <is>
          <t>verified_original_html</t>
        </is>
      </c>
      <c r="J769" t="inlineStr">
        <is>
          <t>https://www.shzfgjj.cn/html/newxxgk/ywsjtj/228264.html</t>
        </is>
      </c>
    </row>
  </sheetData>
  <autoFilter ref="A1:J7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2" customWidth="1" min="3" max="3"/>
    <col width="22" customWidth="1" min="4" max="4"/>
    <col width="23" customWidth="1" min="5" max="5"/>
    <col width="23" customWidth="1" min="6" max="6"/>
    <col width="15" customWidth="1" min="7" max="7"/>
  </cols>
  <sheetData>
    <row r="1">
      <c r="A1" s="1" t="inlineStr">
        <is>
          <t>year</t>
        </is>
      </c>
      <c r="B1" s="1" t="inlineStr">
        <is>
          <t>month</t>
        </is>
      </c>
      <c r="C1" s="1" t="inlineStr">
        <is>
          <t>collection_ytd_100m</t>
        </is>
      </c>
      <c r="D1" s="1" t="inlineStr">
        <is>
          <t>withdrawal_ytd_100m</t>
        </is>
      </c>
      <c r="E1" s="1" t="inlineStr">
        <is>
          <t>collection_flow_100m</t>
        </is>
      </c>
      <c r="F1" s="1" t="inlineStr">
        <is>
          <t>withdrawal_flow_100m</t>
        </is>
      </c>
      <c r="G1" s="1" t="inlineStr">
        <is>
          <t>source_scope</t>
        </is>
      </c>
      <c r="H1" t="inlineStr">
        <is>
          <t>collection_flow_formula</t>
        </is>
      </c>
      <c r="I1" t="inlineStr">
        <is>
          <t>withdrawal_flow_formula</t>
        </is>
      </c>
    </row>
    <row r="2">
      <c r="A2" t="n">
        <v>2022</v>
      </c>
      <c r="B2" t="n">
        <v>1</v>
      </c>
      <c r="C2" t="n">
        <v>168.068709</v>
      </c>
      <c r="D2" t="n">
        <v>102.53681</v>
      </c>
      <c r="E2" t="n">
        <v>168.068709</v>
      </c>
      <c r="F2" t="n">
        <v>102.53681</v>
      </c>
      <c r="G2" t="inlineStr">
        <is>
          <t>sum of 16 district official month-end YTD rows</t>
        </is>
      </c>
      <c r="H2">
        <f>C2</f>
        <v/>
      </c>
      <c r="I2">
        <f>D2</f>
        <v/>
      </c>
    </row>
    <row r="3">
      <c r="A3" t="n">
        <v>2022</v>
      </c>
      <c r="B3" t="n">
        <v>2</v>
      </c>
      <c r="C3" t="n">
        <v>330.206113</v>
      </c>
      <c r="D3" t="n">
        <v>198.075347</v>
      </c>
      <c r="E3" t="n">
        <v>162.137404</v>
      </c>
      <c r="F3" t="n">
        <v>95.53853700000001</v>
      </c>
      <c r="G3" t="inlineStr">
        <is>
          <t>sum of 16 district official month-end YTD rows</t>
        </is>
      </c>
      <c r="H3">
        <f>C3-C2</f>
        <v/>
      </c>
      <c r="I3">
        <f>D3-D2</f>
        <v/>
      </c>
    </row>
    <row r="4">
      <c r="A4" t="n">
        <v>2022</v>
      </c>
      <c r="B4" t="n">
        <v>3</v>
      </c>
      <c r="C4" t="n">
        <v>500.980313</v>
      </c>
      <c r="D4" t="n">
        <v>297.168136</v>
      </c>
      <c r="E4" t="n">
        <v>170.7742</v>
      </c>
      <c r="F4" t="n">
        <v>99.092789</v>
      </c>
      <c r="G4" t="inlineStr">
        <is>
          <t>sum of 16 district official month-end YTD rows</t>
        </is>
      </c>
      <c r="H4">
        <f>C4-C3</f>
        <v/>
      </c>
      <c r="I4">
        <f>D4-D3</f>
        <v/>
      </c>
    </row>
    <row r="5">
      <c r="A5" t="n">
        <v>2022</v>
      </c>
      <c r="B5" t="n">
        <v>4</v>
      </c>
      <c r="C5" t="n">
        <v>633.8047790000001</v>
      </c>
      <c r="D5" t="n">
        <v>443.152554</v>
      </c>
      <c r="E5" t="n">
        <v>132.824466</v>
      </c>
      <c r="F5" t="n">
        <v>145.984418</v>
      </c>
      <c r="G5" t="inlineStr">
        <is>
          <t>sum of 16 district official month-end YTD rows</t>
        </is>
      </c>
      <c r="H5">
        <f>C5-C4</f>
        <v/>
      </c>
      <c r="I5">
        <f>D5-D4</f>
        <v/>
      </c>
    </row>
    <row r="6">
      <c r="A6" t="n">
        <v>2022</v>
      </c>
      <c r="B6" t="n">
        <v>5</v>
      </c>
      <c r="C6" t="n">
        <v>783.857698</v>
      </c>
      <c r="D6" t="n">
        <v>525.697557</v>
      </c>
      <c r="E6" t="n">
        <v>150.052919</v>
      </c>
      <c r="F6" t="n">
        <v>82.54500299999999</v>
      </c>
      <c r="G6" t="inlineStr">
        <is>
          <t>sum of 16 district official month-end YTD rows</t>
        </is>
      </c>
      <c r="H6">
        <f>C6-C5</f>
        <v/>
      </c>
      <c r="I6">
        <f>D6-D5</f>
        <v/>
      </c>
    </row>
    <row r="7">
      <c r="A7" t="n">
        <v>2022</v>
      </c>
      <c r="B7" t="n">
        <v>6</v>
      </c>
      <c r="C7" t="n">
        <v>1004.827353</v>
      </c>
      <c r="D7" t="n">
        <v>634.125825</v>
      </c>
      <c r="E7" t="n">
        <v>220.969655</v>
      </c>
      <c r="F7" t="n">
        <v>108.428268</v>
      </c>
      <c r="G7" t="inlineStr">
        <is>
          <t>sum of 16 district official month-end YTD rows</t>
        </is>
      </c>
      <c r="H7">
        <f>C7-C6</f>
        <v/>
      </c>
      <c r="I7">
        <f>D7-D6</f>
        <v/>
      </c>
    </row>
    <row r="8">
      <c r="A8" t="n">
        <v>2022</v>
      </c>
      <c r="B8" t="n">
        <v>7</v>
      </c>
      <c r="C8" t="n">
        <v>1185.497136</v>
      </c>
      <c r="D8" t="n">
        <v>752.775833</v>
      </c>
      <c r="E8" t="n">
        <v>180.669783</v>
      </c>
      <c r="F8" t="n">
        <v>118.650008</v>
      </c>
      <c r="G8" t="inlineStr">
        <is>
          <t>sum of 16 district official month-end YTD rows</t>
        </is>
      </c>
      <c r="H8">
        <f>C8-C7</f>
        <v/>
      </c>
      <c r="I8">
        <f>D8-D7</f>
        <v/>
      </c>
    </row>
    <row r="9">
      <c r="A9" t="n">
        <v>2022</v>
      </c>
      <c r="B9" t="n">
        <v>8</v>
      </c>
      <c r="C9" t="n">
        <v>1377.337518</v>
      </c>
      <c r="D9" t="n">
        <v>866.683706</v>
      </c>
      <c r="E9" t="n">
        <v>191.840382</v>
      </c>
      <c r="F9" t="n">
        <v>113.907873</v>
      </c>
      <c r="G9" t="inlineStr">
        <is>
          <t>sum of 16 district official month-end YTD rows</t>
        </is>
      </c>
      <c r="H9">
        <f>C9-C8</f>
        <v/>
      </c>
      <c r="I9">
        <f>D9-D8</f>
        <v/>
      </c>
    </row>
    <row r="10">
      <c r="A10" t="n">
        <v>2022</v>
      </c>
      <c r="B10" t="n">
        <v>9</v>
      </c>
      <c r="C10" t="n">
        <v>1570.041834</v>
      </c>
      <c r="D10" t="n">
        <v>1040.187427</v>
      </c>
      <c r="E10" t="n">
        <v>192.704316</v>
      </c>
      <c r="F10" t="n">
        <v>173.503721</v>
      </c>
      <c r="G10" t="inlineStr">
        <is>
          <t>sum of 16 district official month-end YTD rows</t>
        </is>
      </c>
      <c r="H10">
        <f>C10-C9</f>
        <v/>
      </c>
      <c r="I10">
        <f>D10-D9</f>
        <v/>
      </c>
    </row>
    <row r="11">
      <c r="A11" t="n">
        <v>2022</v>
      </c>
      <c r="B11" t="n">
        <v>10</v>
      </c>
      <c r="C11" t="n">
        <v>1755.376115</v>
      </c>
      <c r="D11" t="n">
        <v>1150.422956</v>
      </c>
      <c r="E11" t="n">
        <v>185.334281</v>
      </c>
      <c r="F11" t="n">
        <v>110.235529</v>
      </c>
      <c r="G11" t="inlineStr">
        <is>
          <t>sum of 16 district official month-end YTD rows</t>
        </is>
      </c>
      <c r="H11">
        <f>C11-C10</f>
        <v/>
      </c>
      <c r="I11">
        <f>D11-D10</f>
        <v/>
      </c>
    </row>
    <row r="12">
      <c r="A12" t="n">
        <v>2022</v>
      </c>
      <c r="B12" t="n">
        <v>11</v>
      </c>
      <c r="C12" t="n">
        <v>1944.871932</v>
      </c>
      <c r="D12" t="n">
        <v>1266.391328</v>
      </c>
      <c r="E12" t="n">
        <v>189.495817</v>
      </c>
      <c r="F12" t="n">
        <v>115.968372</v>
      </c>
      <c r="G12" t="inlineStr">
        <is>
          <t>sum of 16 district official month-end YTD rows</t>
        </is>
      </c>
      <c r="H12">
        <f>C12-C11</f>
        <v/>
      </c>
      <c r="I12">
        <f>D12-D11</f>
        <v/>
      </c>
    </row>
    <row r="13">
      <c r="A13" t="n">
        <v>2022</v>
      </c>
      <c r="B13" t="n">
        <v>12</v>
      </c>
      <c r="C13" t="n">
        <v>2134.703202</v>
      </c>
      <c r="D13" t="n">
        <v>1379.441334</v>
      </c>
      <c r="E13" t="n">
        <v>189.83127</v>
      </c>
      <c r="F13" t="n">
        <v>113.050006</v>
      </c>
      <c r="G13" t="inlineStr">
        <is>
          <t>sum of 16 district official month-end YTD rows</t>
        </is>
      </c>
      <c r="H13">
        <f>C13-C12</f>
        <v/>
      </c>
      <c r="I13">
        <f>D13-D12</f>
        <v/>
      </c>
    </row>
    <row r="14">
      <c r="A14" t="n">
        <v>2023</v>
      </c>
      <c r="B14" t="n">
        <v>1</v>
      </c>
      <c r="C14" t="n">
        <v>191.736671</v>
      </c>
      <c r="D14" t="n">
        <v>114.79423</v>
      </c>
      <c r="E14" t="n">
        <v>191.736671</v>
      </c>
      <c r="F14" t="n">
        <v>114.79423</v>
      </c>
      <c r="G14" t="inlineStr">
        <is>
          <t>sum of 16 district official month-end YTD rows</t>
        </is>
      </c>
      <c r="H14">
        <f>C14</f>
        <v/>
      </c>
      <c r="I14">
        <f>D14</f>
        <v/>
      </c>
    </row>
    <row r="15">
      <c r="A15" t="n">
        <v>2023</v>
      </c>
      <c r="B15" t="n">
        <v>2</v>
      </c>
      <c r="C15" t="n">
        <v>382.768935</v>
      </c>
      <c r="D15" t="n">
        <v>235.627539</v>
      </c>
      <c r="E15" t="n">
        <v>191.032264</v>
      </c>
      <c r="F15" t="n">
        <v>120.833309</v>
      </c>
      <c r="G15" t="inlineStr">
        <is>
          <t>sum of 16 district official month-end YTD rows</t>
        </is>
      </c>
      <c r="H15">
        <f>C15-C14</f>
        <v/>
      </c>
      <c r="I15">
        <f>D15-D14</f>
        <v/>
      </c>
    </row>
    <row r="16">
      <c r="A16" t="n">
        <v>2023</v>
      </c>
      <c r="B16" t="n">
        <v>3</v>
      </c>
      <c r="C16" t="n">
        <v>577.214559</v>
      </c>
      <c r="D16" t="n">
        <v>356.619895</v>
      </c>
      <c r="E16" t="n">
        <v>194.445624</v>
      </c>
      <c r="F16" t="n">
        <v>120.992356</v>
      </c>
      <c r="G16" t="inlineStr">
        <is>
          <t>sum of 16 district official month-end YTD rows</t>
        </is>
      </c>
      <c r="H16">
        <f>C16-C15</f>
        <v/>
      </c>
      <c r="I16">
        <f>D16-D15</f>
        <v/>
      </c>
    </row>
    <row r="17">
      <c r="A17" t="n">
        <v>2023</v>
      </c>
      <c r="B17" t="n">
        <v>4</v>
      </c>
      <c r="C17" t="n">
        <v>764.718626</v>
      </c>
      <c r="D17" t="n">
        <v>575.105072</v>
      </c>
      <c r="E17" t="n">
        <v>187.504067</v>
      </c>
      <c r="F17" t="n">
        <v>218.485177</v>
      </c>
      <c r="G17" t="inlineStr">
        <is>
          <t>sum of 16 district official month-end YTD rows</t>
        </is>
      </c>
      <c r="H17">
        <f>C17-C16</f>
        <v/>
      </c>
      <c r="I17">
        <f>D17-D16</f>
        <v/>
      </c>
    </row>
    <row r="18">
      <c r="A18" t="n">
        <v>2023</v>
      </c>
      <c r="B18" t="n">
        <v>5</v>
      </c>
      <c r="C18" t="n">
        <v>953.623814</v>
      </c>
      <c r="D18" t="n">
        <v>692.914778</v>
      </c>
      <c r="E18" t="n">
        <v>188.905188</v>
      </c>
      <c r="F18" t="n">
        <v>117.809706</v>
      </c>
      <c r="G18" t="inlineStr">
        <is>
          <t>sum of 16 district official month-end YTD rows</t>
        </is>
      </c>
      <c r="H18">
        <f>C18-C17</f>
        <v/>
      </c>
      <c r="I18">
        <f>D18-D17</f>
        <v/>
      </c>
    </row>
    <row r="19">
      <c r="A19" t="n">
        <v>2023</v>
      </c>
      <c r="B19" t="n">
        <v>6</v>
      </c>
      <c r="C19" t="n">
        <v>1145.838039</v>
      </c>
      <c r="D19" t="n">
        <v>810.435103</v>
      </c>
      <c r="E19" t="n">
        <v>192.214225</v>
      </c>
      <c r="F19" t="n">
        <v>117.520325</v>
      </c>
      <c r="G19" t="inlineStr">
        <is>
          <t>sum of 16 district official month-end YTD rows</t>
        </is>
      </c>
      <c r="H19">
        <f>C19-C18</f>
        <v/>
      </c>
      <c r="I19">
        <f>D19-D18</f>
        <v/>
      </c>
    </row>
    <row r="20">
      <c r="A20" t="n">
        <v>2023</v>
      </c>
      <c r="B20" t="n">
        <v>7</v>
      </c>
      <c r="C20" t="n">
        <v>1341.713995</v>
      </c>
      <c r="D20" t="n">
        <v>934.0524830000001</v>
      </c>
      <c r="E20" t="n">
        <v>195.875956</v>
      </c>
      <c r="F20" t="n">
        <v>123.61738</v>
      </c>
      <c r="G20" t="inlineStr">
        <is>
          <t>sum of 16 district official month-end YTD rows</t>
        </is>
      </c>
      <c r="H20">
        <f>C20-C19</f>
        <v/>
      </c>
      <c r="I20">
        <f>D20-D19</f>
        <v/>
      </c>
    </row>
    <row r="21">
      <c r="A21" t="n">
        <v>2023</v>
      </c>
      <c r="B21" t="n">
        <v>8</v>
      </c>
      <c r="C21" t="n">
        <v>1547.714662</v>
      </c>
      <c r="D21" t="n">
        <v>1058.571389</v>
      </c>
      <c r="E21" t="n">
        <v>206.000667</v>
      </c>
      <c r="F21" t="n">
        <v>124.518906</v>
      </c>
      <c r="G21" t="inlineStr">
        <is>
          <t>sum of 16 district official month-end YTD rows</t>
        </is>
      </c>
      <c r="H21">
        <f>C21-C20</f>
        <v/>
      </c>
      <c r="I21">
        <f>D21-D20</f>
        <v/>
      </c>
    </row>
    <row r="22">
      <c r="A22" t="n">
        <v>2023</v>
      </c>
      <c r="B22" t="n">
        <v>9</v>
      </c>
      <c r="C22" t="n">
        <v>1754.482164</v>
      </c>
      <c r="D22" t="n">
        <v>1260.288789</v>
      </c>
      <c r="E22" t="n">
        <v>206.767502</v>
      </c>
      <c r="F22" t="n">
        <v>201.7174</v>
      </c>
      <c r="G22" t="inlineStr">
        <is>
          <t>sum of 16 district official month-end YTD rows</t>
        </is>
      </c>
      <c r="H22">
        <f>C22-C21</f>
        <v/>
      </c>
      <c r="I22">
        <f>D22-D21</f>
        <v/>
      </c>
    </row>
    <row r="23">
      <c r="A23" t="n">
        <v>2023</v>
      </c>
      <c r="B23" t="n">
        <v>10</v>
      </c>
      <c r="C23" t="n">
        <v>1957.894949</v>
      </c>
      <c r="D23" t="n">
        <v>1386.407664</v>
      </c>
      <c r="E23" t="n">
        <v>203.412785</v>
      </c>
      <c r="F23" t="n">
        <v>126.118875</v>
      </c>
      <c r="G23" t="inlineStr">
        <is>
          <t>sum of 16 district official month-end YTD rows</t>
        </is>
      </c>
      <c r="H23">
        <f>C23-C22</f>
        <v/>
      </c>
      <c r="I23">
        <f>D23-D22</f>
        <v/>
      </c>
    </row>
    <row r="24">
      <c r="A24" t="n">
        <v>2023</v>
      </c>
      <c r="B24" t="n">
        <v>11</v>
      </c>
      <c r="C24" t="n">
        <v>2162.408893</v>
      </c>
      <c r="D24" t="n">
        <v>1515.992859</v>
      </c>
      <c r="E24" t="n">
        <v>204.513944</v>
      </c>
      <c r="F24" t="n">
        <v>129.585195</v>
      </c>
      <c r="G24" t="inlineStr">
        <is>
          <t>sum of 16 district official month-end YTD rows</t>
        </is>
      </c>
      <c r="H24">
        <f>C24-C23</f>
        <v/>
      </c>
      <c r="I24">
        <f>D24-D23</f>
        <v/>
      </c>
    </row>
    <row r="25">
      <c r="A25" t="n">
        <v>2023</v>
      </c>
      <c r="B25" t="n">
        <v>12</v>
      </c>
      <c r="C25" t="n">
        <v>2367.550577</v>
      </c>
      <c r="D25" t="n">
        <v>1644.512712</v>
      </c>
      <c r="E25" t="n">
        <v>205.141684</v>
      </c>
      <c r="F25" t="n">
        <v>128.519853</v>
      </c>
      <c r="G25" t="inlineStr">
        <is>
          <t>sum of 16 district official month-end YTD rows</t>
        </is>
      </c>
      <c r="H25">
        <f>C25-C24</f>
        <v/>
      </c>
      <c r="I25">
        <f>D25-D24</f>
        <v/>
      </c>
    </row>
    <row r="26">
      <c r="A26" t="n">
        <v>2024</v>
      </c>
      <c r="B26" t="n">
        <v>1</v>
      </c>
      <c r="C26" t="n">
        <v>204.221154</v>
      </c>
      <c r="D26" t="n">
        <v>130.300237</v>
      </c>
      <c r="E26" t="n">
        <v>204.221154</v>
      </c>
      <c r="F26" t="n">
        <v>130.300237</v>
      </c>
      <c r="G26" t="inlineStr">
        <is>
          <t>sum of 16 district official month-end YTD rows</t>
        </is>
      </c>
      <c r="H26">
        <f>C26</f>
        <v/>
      </c>
      <c r="I26">
        <f>D26</f>
        <v/>
      </c>
    </row>
    <row r="27">
      <c r="A27" t="n">
        <v>2024</v>
      </c>
      <c r="B27" t="n">
        <v>2</v>
      </c>
      <c r="C27" t="n">
        <v>404.681551</v>
      </c>
      <c r="D27" t="n">
        <v>247.863092</v>
      </c>
      <c r="E27" t="n">
        <v>200.460397</v>
      </c>
      <c r="F27" t="n">
        <v>117.562855</v>
      </c>
      <c r="G27" t="inlineStr">
        <is>
          <t>sum of 16 district official month-end YTD rows</t>
        </is>
      </c>
      <c r="H27">
        <f>C27-C26</f>
        <v/>
      </c>
      <c r="I27">
        <f>D27-D26</f>
        <v/>
      </c>
    </row>
    <row r="28">
      <c r="A28" t="n">
        <v>2024</v>
      </c>
      <c r="B28" t="n">
        <v>3</v>
      </c>
      <c r="C28" t="n">
        <v>607.73169</v>
      </c>
      <c r="D28" t="n">
        <v>377.025739</v>
      </c>
      <c r="E28" t="n">
        <v>203.050139</v>
      </c>
      <c r="F28" t="n">
        <v>129.162647</v>
      </c>
      <c r="G28" t="inlineStr">
        <is>
          <t>sum of 16 district official month-end YTD rows</t>
        </is>
      </c>
      <c r="H28">
        <f>C28-C27</f>
        <v/>
      </c>
      <c r="I28">
        <f>D28-D27</f>
        <v/>
      </c>
    </row>
    <row r="29">
      <c r="A29" t="n">
        <v>2024</v>
      </c>
      <c r="B29" t="n">
        <v>4</v>
      </c>
      <c r="C29" t="n">
        <v>812.1514529999999</v>
      </c>
      <c r="D29" t="n">
        <v>605.426781</v>
      </c>
      <c r="E29" t="n">
        <v>204.419763</v>
      </c>
      <c r="F29" t="n">
        <v>228.401042</v>
      </c>
      <c r="G29" t="inlineStr">
        <is>
          <t>sum of 16 district official month-end YTD rows</t>
        </is>
      </c>
      <c r="H29">
        <f>C29-C28</f>
        <v/>
      </c>
      <c r="I29">
        <f>D29-D28</f>
        <v/>
      </c>
    </row>
    <row r="30">
      <c r="A30" t="n">
        <v>2024</v>
      </c>
      <c r="B30" t="n">
        <v>5</v>
      </c>
      <c r="C30" t="n">
        <v>1012.968569</v>
      </c>
      <c r="D30" t="n">
        <v>726.9200980000001</v>
      </c>
      <c r="E30" t="n">
        <v>200.817116</v>
      </c>
      <c r="F30" t="n">
        <v>121.493317</v>
      </c>
      <c r="G30" t="inlineStr">
        <is>
          <t>sum of 16 district official month-end YTD rows</t>
        </is>
      </c>
      <c r="H30">
        <f>C30-C29</f>
        <v/>
      </c>
      <c r="I30">
        <f>D30-D29</f>
        <v/>
      </c>
    </row>
    <row r="31">
      <c r="A31" t="n">
        <v>2024</v>
      </c>
      <c r="B31" t="n">
        <v>6</v>
      </c>
      <c r="C31" t="n">
        <v>1211.659444</v>
      </c>
      <c r="D31" t="n">
        <v>842.4748039999999</v>
      </c>
      <c r="E31" t="n">
        <v>198.690875</v>
      </c>
      <c r="F31" t="n">
        <v>115.554706</v>
      </c>
      <c r="G31" t="inlineStr">
        <is>
          <t>sum of 16 district official month-end YTD rows</t>
        </is>
      </c>
      <c r="H31">
        <f>C31-C30</f>
        <v/>
      </c>
      <c r="I31">
        <f>D31-D30</f>
        <v/>
      </c>
    </row>
    <row r="32">
      <c r="A32" t="n">
        <v>2024</v>
      </c>
      <c r="B32" t="n">
        <v>7</v>
      </c>
      <c r="C32" t="n">
        <v>1399.029358</v>
      </c>
      <c r="D32" t="n">
        <v>965.24407</v>
      </c>
      <c r="E32" t="n">
        <v>187.369914</v>
      </c>
      <c r="F32" t="n">
        <v>122.769266</v>
      </c>
      <c r="G32" t="inlineStr">
        <is>
          <t>sum of 16 district official month-end YTD rows</t>
        </is>
      </c>
      <c r="H32">
        <f>C32-C31</f>
        <v/>
      </c>
      <c r="I32">
        <f>D32-D31</f>
        <v/>
      </c>
    </row>
    <row r="33">
      <c r="A33" t="n">
        <v>2024</v>
      </c>
      <c r="B33" t="n">
        <v>8</v>
      </c>
      <c r="C33" t="n">
        <v>1631.851145</v>
      </c>
      <c r="D33" t="n">
        <v>1086.691138</v>
      </c>
      <c r="E33" t="n">
        <v>232.821787</v>
      </c>
      <c r="F33" t="n">
        <v>121.447068</v>
      </c>
      <c r="G33" t="inlineStr">
        <is>
          <t>sum of 16 district official month-end YTD rows</t>
        </is>
      </c>
      <c r="H33">
        <f>C33-C32</f>
        <v/>
      </c>
      <c r="I33">
        <f>D33-D32</f>
        <v/>
      </c>
    </row>
    <row r="34">
      <c r="A34" t="n">
        <v>2024</v>
      </c>
      <c r="B34" t="n">
        <v>9</v>
      </c>
      <c r="C34" t="n">
        <v>1846.698793</v>
      </c>
      <c r="D34" t="n">
        <v>1301.984602</v>
      </c>
      <c r="E34" t="n">
        <v>214.847648</v>
      </c>
      <c r="F34" t="n">
        <v>215.293464</v>
      </c>
      <c r="G34" t="inlineStr">
        <is>
          <t>sum of 16 district official month-end YTD rows</t>
        </is>
      </c>
      <c r="H34">
        <f>C34-C33</f>
        <v/>
      </c>
      <c r="I34">
        <f>D34-D33</f>
        <v/>
      </c>
    </row>
    <row r="35">
      <c r="A35" t="n">
        <v>2024</v>
      </c>
      <c r="B35" t="n">
        <v>10</v>
      </c>
      <c r="C35" t="n">
        <v>2056.186717</v>
      </c>
      <c r="D35" t="n">
        <v>1426.14686</v>
      </c>
      <c r="E35" t="n">
        <v>209.487924</v>
      </c>
      <c r="F35" t="n">
        <v>124.162258</v>
      </c>
      <c r="G35" t="inlineStr">
        <is>
          <t>sum of 16 district official month-end YTD rows</t>
        </is>
      </c>
      <c r="H35">
        <f>C35-C34</f>
        <v/>
      </c>
      <c r="I35">
        <f>D35-D34</f>
        <v/>
      </c>
    </row>
    <row r="36">
      <c r="A36" t="n">
        <v>2024</v>
      </c>
      <c r="B36" t="n">
        <v>11</v>
      </c>
      <c r="C36" t="n">
        <v>2265.211163</v>
      </c>
      <c r="D36" t="n">
        <v>1555.75107</v>
      </c>
      <c r="E36" t="n">
        <v>209.024446</v>
      </c>
      <c r="F36" t="n">
        <v>129.60421</v>
      </c>
      <c r="G36" t="inlineStr">
        <is>
          <t>sum of 16 district official month-end YTD rows</t>
        </is>
      </c>
      <c r="H36">
        <f>C36-C35</f>
        <v/>
      </c>
      <c r="I36">
        <f>D36-D35</f>
        <v/>
      </c>
    </row>
    <row r="37">
      <c r="A37" t="n">
        <v>2024</v>
      </c>
      <c r="B37" t="n">
        <v>12</v>
      </c>
      <c r="C37" t="n">
        <v>2476.144212</v>
      </c>
      <c r="D37" t="n">
        <v>1693.898004</v>
      </c>
      <c r="E37" t="n">
        <v>210.933049</v>
      </c>
      <c r="F37" t="n">
        <v>138.146934</v>
      </c>
      <c r="G37" t="inlineStr">
        <is>
          <t>sum of 16 district official month-end YTD rows</t>
        </is>
      </c>
      <c r="H37">
        <f>C37-C36</f>
        <v/>
      </c>
      <c r="I37">
        <f>D37-D36</f>
        <v/>
      </c>
    </row>
    <row r="38">
      <c r="A38" t="n">
        <v>2025</v>
      </c>
      <c r="B38" t="n">
        <v>1</v>
      </c>
      <c r="C38" t="n">
        <v>208.175309</v>
      </c>
      <c r="D38" t="n">
        <v>129.381874</v>
      </c>
      <c r="E38" t="n">
        <v>208.175309</v>
      </c>
      <c r="F38" t="n">
        <v>129.381874</v>
      </c>
      <c r="G38" t="inlineStr">
        <is>
          <t>sum of 16 district official month-end YTD rows</t>
        </is>
      </c>
      <c r="H38">
        <f>C38</f>
        <v/>
      </c>
      <c r="I38">
        <f>D38</f>
        <v/>
      </c>
    </row>
    <row r="39">
      <c r="A39" t="n">
        <v>2025</v>
      </c>
      <c r="B39" t="n">
        <v>2</v>
      </c>
      <c r="C39" t="n">
        <v>414.995505</v>
      </c>
      <c r="D39" t="n">
        <v>252.276656</v>
      </c>
      <c r="E39" t="n">
        <v>206.820196</v>
      </c>
      <c r="F39" t="n">
        <v>122.894782</v>
      </c>
      <c r="G39" t="inlineStr">
        <is>
          <t>sum of 16 district official month-end YTD rows</t>
        </is>
      </c>
      <c r="H39">
        <f>C39-C38</f>
        <v/>
      </c>
      <c r="I39">
        <f>D39-D38</f>
        <v/>
      </c>
    </row>
    <row r="40">
      <c r="A40" t="n">
        <v>2025</v>
      </c>
      <c r="B40" t="n">
        <v>3</v>
      </c>
      <c r="C40" t="n">
        <v>623.892217</v>
      </c>
      <c r="D40" t="n">
        <v>387.93923</v>
      </c>
      <c r="E40" t="n">
        <v>208.896712</v>
      </c>
      <c r="F40" t="n">
        <v>135.662574</v>
      </c>
      <c r="G40" t="inlineStr">
        <is>
          <t>sum of 16 district official month-end YTD rows</t>
        </is>
      </c>
      <c r="H40">
        <f>C40-C39</f>
        <v/>
      </c>
      <c r="I40">
        <f>D40-D39</f>
        <v/>
      </c>
    </row>
    <row r="41">
      <c r="A41" t="n">
        <v>2025</v>
      </c>
      <c r="B41" t="n">
        <v>4</v>
      </c>
      <c r="C41" t="n">
        <v>832.23128</v>
      </c>
      <c r="D41" t="n">
        <v>645.145617</v>
      </c>
      <c r="E41" t="n">
        <v>208.339063</v>
      </c>
      <c r="F41" t="n">
        <v>257.206387</v>
      </c>
      <c r="G41" t="inlineStr">
        <is>
          <t>sum of 16 district official month-end YTD rows</t>
        </is>
      </c>
      <c r="H41">
        <f>C41-C40</f>
        <v/>
      </c>
      <c r="I41">
        <f>D41-D40</f>
        <v/>
      </c>
    </row>
    <row r="42">
      <c r="A42" t="n">
        <v>2025</v>
      </c>
      <c r="B42" t="n">
        <v>5</v>
      </c>
      <c r="C42" t="n">
        <v>1037.306186</v>
      </c>
      <c r="D42" t="n">
        <v>773.454552</v>
      </c>
      <c r="E42" t="n">
        <v>205.074906</v>
      </c>
      <c r="F42" t="n">
        <v>128.308935</v>
      </c>
      <c r="G42" t="inlineStr">
        <is>
          <t>sum of 16 district official month-end YTD rows</t>
        </is>
      </c>
      <c r="H42">
        <f>C42-C41</f>
        <v/>
      </c>
      <c r="I42">
        <f>D42-D41</f>
        <v/>
      </c>
    </row>
    <row r="43">
      <c r="A43" t="n">
        <v>2025</v>
      </c>
      <c r="B43" t="n">
        <v>6</v>
      </c>
      <c r="C43" t="n">
        <v>1242.299924</v>
      </c>
      <c r="D43" t="n">
        <v>899.818699</v>
      </c>
      <c r="E43" t="n">
        <v>204.993738</v>
      </c>
      <c r="F43" t="n">
        <v>126.364147</v>
      </c>
      <c r="G43" t="inlineStr">
        <is>
          <t>sum of 16 district official month-end YTD rows</t>
        </is>
      </c>
      <c r="H43">
        <f>C43-C42</f>
        <v/>
      </c>
      <c r="I43">
        <f>D43-D42</f>
        <v/>
      </c>
    </row>
    <row r="44">
      <c r="A44" t="n">
        <v>2025</v>
      </c>
      <c r="B44" t="n">
        <v>7</v>
      </c>
      <c r="C44" t="n">
        <v>1429.966031</v>
      </c>
      <c r="D44" t="n">
        <v>1033.545088</v>
      </c>
      <c r="E44" t="n">
        <v>187.666107</v>
      </c>
      <c r="F44" t="n">
        <v>133.726389</v>
      </c>
      <c r="G44" t="inlineStr">
        <is>
          <t>sum of 16 district official month-end YTD rows</t>
        </is>
      </c>
      <c r="H44">
        <f>C44-C43</f>
        <v/>
      </c>
      <c r="I44">
        <f>D44-D43</f>
        <v/>
      </c>
    </row>
    <row r="45">
      <c r="A45" t="n">
        <v>2025</v>
      </c>
      <c r="B45" t="n">
        <v>8</v>
      </c>
      <c r="C45" t="n">
        <v>1659.604849</v>
      </c>
      <c r="D45" t="n">
        <v>1165.444434</v>
      </c>
      <c r="E45" t="n">
        <v>229.638818</v>
      </c>
      <c r="F45" t="n">
        <v>131.899346</v>
      </c>
      <c r="G45" t="inlineStr">
        <is>
          <t>sum of 16 district official month-end YTD rows</t>
        </is>
      </c>
      <c r="H45">
        <f>C45-C44</f>
        <v/>
      </c>
      <c r="I45">
        <f>D45-D44</f>
        <v/>
      </c>
    </row>
    <row r="46">
      <c r="A46" t="n">
        <v>2025</v>
      </c>
      <c r="B46" t="n">
        <v>9</v>
      </c>
      <c r="C46" t="n">
        <v>1881.732392</v>
      </c>
      <c r="D46" t="n">
        <v>1421.46672</v>
      </c>
      <c r="E46" t="n">
        <v>222.127543</v>
      </c>
      <c r="F46" t="n">
        <v>256.022286</v>
      </c>
      <c r="G46" t="inlineStr">
        <is>
          <t>sum of 16 district official month-end YTD rows</t>
        </is>
      </c>
      <c r="H46">
        <f>C46-C45</f>
        <v/>
      </c>
      <c r="I46">
        <f>D46-D45</f>
        <v/>
      </c>
    </row>
    <row r="47">
      <c r="A47" t="n">
        <v>2025</v>
      </c>
      <c r="B47" t="n">
        <v>10</v>
      </c>
      <c r="C47" t="n">
        <v>2097.800905</v>
      </c>
      <c r="D47" t="n">
        <v>1558.425418</v>
      </c>
      <c r="E47" t="n">
        <v>216.068513</v>
      </c>
      <c r="F47" t="n">
        <v>136.958698</v>
      </c>
      <c r="G47" t="inlineStr">
        <is>
          <t>sum of 16 district official month-end YTD rows</t>
        </is>
      </c>
      <c r="H47">
        <f>C47-C46</f>
        <v/>
      </c>
      <c r="I47">
        <f>D47-D46</f>
        <v/>
      </c>
    </row>
    <row r="48">
      <c r="A48" t="n">
        <v>2025</v>
      </c>
      <c r="B48" t="n">
        <v>11</v>
      </c>
      <c r="C48" t="n">
        <v>2312.715382</v>
      </c>
      <c r="D48" t="n">
        <v>1702.220963</v>
      </c>
      <c r="E48" t="n">
        <v>214.914477</v>
      </c>
      <c r="F48" t="n">
        <v>143.795545</v>
      </c>
      <c r="G48" t="inlineStr">
        <is>
          <t>sum of 16 district official month-end YTD rows</t>
        </is>
      </c>
      <c r="H48">
        <f>C48-C47</f>
        <v/>
      </c>
      <c r="I48">
        <f>D48-D47</f>
        <v/>
      </c>
    </row>
    <row r="49">
      <c r="A49" t="n">
        <v>2025</v>
      </c>
      <c r="B49" t="n">
        <v>12</v>
      </c>
      <c r="C49" t="n">
        <v>2532.044973</v>
      </c>
      <c r="D49" t="n">
        <v>1842.638797</v>
      </c>
      <c r="E49" t="n">
        <v>219.329591</v>
      </c>
      <c r="F49" t="n">
        <v>140.417834</v>
      </c>
      <c r="G49" t="inlineStr">
        <is>
          <t>sum of 16 district official month-end YTD rows</t>
        </is>
      </c>
      <c r="H49">
        <f>C49-C48</f>
        <v/>
      </c>
      <c r="I49">
        <f>D49-D48</f>
        <v/>
      </c>
    </row>
  </sheetData>
  <autoFilter ref="A1:G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7" customWidth="1" min="3" max="3"/>
    <col width="13" customWidth="1" min="4" max="4"/>
    <col width="36" customWidth="1" min="5" max="5"/>
    <col width="26" customWidth="1" min="6" max="6"/>
    <col width="25" customWidth="1" min="7" max="7"/>
    <col width="27" customWidth="1" min="8" max="8"/>
    <col width="22" customWidth="1" min="9" max="9"/>
    <col width="20" customWidth="1" min="10" max="10"/>
    <col width="26" customWidth="1" min="11" max="11"/>
  </cols>
  <sheetData>
    <row r="1">
      <c r="A1" s="1" t="inlineStr">
        <is>
          <t>year</t>
        </is>
      </c>
      <c r="B1" s="1" t="inlineStr">
        <is>
          <t>annual_contribution_100m</t>
        </is>
      </c>
      <c r="C1" s="1" t="inlineStr">
        <is>
          <t>district_collection_100m</t>
        </is>
      </c>
      <c r="D1" s="1" t="inlineStr">
        <is>
          <t>gap_100m</t>
        </is>
      </c>
      <c r="E1" s="1" t="inlineStr">
        <is>
          <t>contributor_interest_expense_100m</t>
        </is>
      </c>
      <c r="F1" s="1" t="inlineStr">
        <is>
          <t>gap_minus_interest_100m</t>
        </is>
      </c>
      <c r="G1" s="1" t="inlineStr">
        <is>
          <t>annual_withdrawal_100m</t>
        </is>
      </c>
      <c r="H1" s="1" t="inlineStr">
        <is>
          <t>district_withdrawal_100m</t>
        </is>
      </c>
      <c r="I1" s="1" t="inlineStr">
        <is>
          <t>withdrawal_gap_100m</t>
        </is>
      </c>
      <c r="J1" s="1" t="inlineStr">
        <is>
          <t>annual_source_url</t>
        </is>
      </c>
      <c r="K1" s="1" t="inlineStr">
        <is>
          <t>district_dec_source_url</t>
        </is>
      </c>
      <c r="L1" t="inlineStr">
        <is>
          <t>gap_formula</t>
        </is>
      </c>
      <c r="M1" t="inlineStr">
        <is>
          <t>interest_residual_formula</t>
        </is>
      </c>
      <c r="N1" t="inlineStr">
        <is>
          <t>withdrawal_gap_formula</t>
        </is>
      </c>
    </row>
    <row r="2">
      <c r="A2" t="n">
        <v>2022</v>
      </c>
      <c r="B2" t="n">
        <v>2227.22</v>
      </c>
      <c r="C2" t="n">
        <v>2134.703202</v>
      </c>
      <c r="D2" t="n">
        <v>92.51679799999999</v>
      </c>
      <c r="E2" t="n">
        <v>98.79000000000001</v>
      </c>
      <c r="F2" t="n">
        <v>-6.273202</v>
      </c>
      <c r="G2" t="n">
        <v>1379.44</v>
      </c>
      <c r="H2" t="n">
        <v>1379.441334</v>
      </c>
      <c r="I2" t="n">
        <v>-0.001334</v>
      </c>
      <c r="J2" t="inlineStr">
        <is>
          <t>https://www.shzfgjj.cn/html/newxxgk/ndbg/213689.html</t>
        </is>
      </c>
      <c r="K2" t="inlineStr">
        <is>
          <t>https://www.shzfgjj.cn/html/newxxgk/ywsjtj/212590.html</t>
        </is>
      </c>
      <c r="L2">
        <f>B2-C2</f>
        <v/>
      </c>
      <c r="M2">
        <f>L2-E2</f>
        <v/>
      </c>
      <c r="N2">
        <f>G2-H2</f>
        <v/>
      </c>
    </row>
    <row r="3">
      <c r="A3" t="n">
        <v>2023</v>
      </c>
      <c r="B3" t="n">
        <v>2473.1</v>
      </c>
      <c r="C3" t="n">
        <v>2367.550577</v>
      </c>
      <c r="D3" t="n">
        <v>105.549423</v>
      </c>
      <c r="E3" t="n">
        <v>111.77</v>
      </c>
      <c r="F3" t="n">
        <v>-6.220577</v>
      </c>
      <c r="G3" t="n">
        <v>1644.51</v>
      </c>
      <c r="H3" t="n">
        <v>1644.512712</v>
      </c>
      <c r="I3" t="n">
        <v>-0.002712</v>
      </c>
      <c r="J3" t="inlineStr">
        <is>
          <t>https://www.shzfgjj.cn/html/newxxgk/ndbg/220229.html</t>
        </is>
      </c>
      <c r="K3" t="inlineStr">
        <is>
          <t>https://www.shzfgjj.cn/html/newxxgk/ywsjtj/219065.html</t>
        </is>
      </c>
      <c r="L3">
        <f>B3-C3</f>
        <v/>
      </c>
      <c r="M3">
        <f>L3-E3</f>
        <v/>
      </c>
      <c r="N3">
        <f>G3-H3</f>
        <v/>
      </c>
    </row>
    <row r="4">
      <c r="A4" t="n">
        <v>2024</v>
      </c>
      <c r="B4" t="n">
        <v>2594.47</v>
      </c>
      <c r="C4" t="n">
        <v>2476.144212</v>
      </c>
      <c r="D4" t="n">
        <v>118.325788</v>
      </c>
      <c r="E4" t="n">
        <v>125.2</v>
      </c>
      <c r="F4" t="n">
        <v>-6.874212</v>
      </c>
      <c r="G4" t="n">
        <v>1693.9</v>
      </c>
      <c r="H4" t="n">
        <v>1693.898004</v>
      </c>
      <c r="I4" t="n">
        <v>0.001996</v>
      </c>
      <c r="J4" t="inlineStr">
        <is>
          <t>https://www.shzfgjj.cn/html/newxxgk/ndbg/227250.html</t>
        </is>
      </c>
      <c r="K4" t="inlineStr">
        <is>
          <t>https://www.shzfgjj.cn/html/newxxgk/ywsjtj/226404.html</t>
        </is>
      </c>
      <c r="L4">
        <f>B4-C4</f>
        <v/>
      </c>
      <c r="M4">
        <f>L4-E4</f>
        <v/>
      </c>
      <c r="N4">
        <f>G4-H4</f>
        <v/>
      </c>
    </row>
    <row r="5">
      <c r="A5" t="n">
        <v>2025</v>
      </c>
      <c r="B5" t="n">
        <v>2663.65</v>
      </c>
      <c r="C5" t="n">
        <v>2532.044973</v>
      </c>
      <c r="D5" t="n">
        <v>131.605027</v>
      </c>
      <c r="E5" t="n">
        <v>138.15</v>
      </c>
      <c r="F5" t="n">
        <v>-6.544973</v>
      </c>
      <c r="G5" t="n">
        <v>1842.64</v>
      </c>
      <c r="H5" t="n">
        <v>1842.638797</v>
      </c>
      <c r="I5" t="n">
        <v>0.001203</v>
      </c>
      <c r="J5" t="inlineStr">
        <is>
          <t>https://www.shzfgjj.cn/html/newxxgk/ndbg/228312.html</t>
        </is>
      </c>
      <c r="K5" t="inlineStr">
        <is>
          <t>https://www.shzfgjj.cn/html/newxxgk/ywsjtj/228264.html</t>
        </is>
      </c>
      <c r="L5">
        <f>B5-C5</f>
        <v/>
      </c>
      <c r="M5">
        <f>L5-E5</f>
        <v/>
      </c>
      <c r="N5">
        <f>G5-H5</f>
        <v/>
      </c>
    </row>
  </sheetData>
  <autoFilter ref="A1:K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1" customWidth="1" min="3" max="3"/>
    <col width="24" customWidth="1" min="4" max="4"/>
    <col width="13" customWidth="1" min="5" max="5"/>
    <col width="18" customWidth="1" min="6" max="6"/>
    <col width="24" customWidth="1" min="7" max="7"/>
    <col width="18" customWidth="1" min="8" max="8"/>
  </cols>
  <sheetData>
    <row r="1">
      <c r="A1" s="1" t="inlineStr">
        <is>
          <t>year</t>
        </is>
      </c>
      <c r="B1" s="1" t="inlineStr">
        <is>
          <t>category</t>
        </is>
      </c>
      <c r="C1" s="1" t="inlineStr">
        <is>
          <t>reported_share_pct</t>
        </is>
      </c>
      <c r="D1" s="1" t="inlineStr">
        <is>
          <t>total_withdrawal_100m</t>
        </is>
      </c>
      <c r="E1" s="1" t="inlineStr">
        <is>
          <t>source_url</t>
        </is>
      </c>
      <c r="F1" s="1" t="inlineStr">
        <is>
          <t>definition_note</t>
        </is>
      </c>
      <c r="G1" s="1" t="inlineStr">
        <is>
          <t>estimated_amount_100m</t>
        </is>
      </c>
      <c r="H1" s="1" t="inlineStr">
        <is>
          <t>estimate_status</t>
        </is>
      </c>
      <c r="I1" t="inlineStr">
        <is>
          <t>amount_formula</t>
        </is>
      </c>
    </row>
    <row r="2">
      <c r="A2" t="n">
        <v>2024</v>
      </c>
      <c r="B2" t="inlineStr">
        <is>
          <t>purchase_build_repair</t>
        </is>
      </c>
      <c r="C2" t="n">
        <v>4.97</v>
      </c>
      <c r="D2" t="n">
        <v>1693.9</v>
      </c>
      <c r="E2" t="inlineStr">
        <is>
          <t>https://www.shzfgjj.cn/html/newxxgk/ndbg/227250.html</t>
        </is>
      </c>
      <c r="F2" t="inlineStr">
        <is>
          <t>Share of annual withdrawal amount rounded to 0.01 percentage point</t>
        </is>
      </c>
      <c r="G2" t="n">
        <v>84.18683</v>
      </c>
      <c r="H2" t="inlineStr">
        <is>
          <t>derived from rounded reported share; not original category amount</t>
        </is>
      </c>
      <c r="I2">
        <f>C2*D2/100</f>
        <v/>
      </c>
    </row>
    <row r="3">
      <c r="A3" t="n">
        <v>2024</v>
      </c>
      <c r="B3" t="inlineStr">
        <is>
          <t>mortgage_repayment</t>
        </is>
      </c>
      <c r="C3" t="n">
        <v>62.46</v>
      </c>
      <c r="D3" t="n">
        <v>1693.9</v>
      </c>
      <c r="E3" t="inlineStr">
        <is>
          <t>https://www.shzfgjj.cn/html/newxxgk/ndbg/227250.html</t>
        </is>
      </c>
      <c r="F3" t="inlineStr">
        <is>
          <t>Share of annual withdrawal amount rounded to 0.01 percentage point</t>
        </is>
      </c>
      <c r="G3" t="n">
        <v>1058.00994</v>
      </c>
      <c r="H3" t="inlineStr">
        <is>
          <t>derived from rounded reported share; not original category amount</t>
        </is>
      </c>
      <c r="I3">
        <f>C3*D3/100</f>
        <v/>
      </c>
    </row>
    <row r="4">
      <c r="A4" t="n">
        <v>2024</v>
      </c>
      <c r="B4" t="inlineStr">
        <is>
          <t>rent</t>
        </is>
      </c>
      <c r="C4" t="n">
        <v>12.2</v>
      </c>
      <c r="D4" t="n">
        <v>1693.9</v>
      </c>
      <c r="E4" t="inlineStr">
        <is>
          <t>https://www.shzfgjj.cn/html/newxxgk/ndbg/227250.html</t>
        </is>
      </c>
      <c r="F4" t="inlineStr">
        <is>
          <t>Share of annual withdrawal amount rounded to 0.01 percentage point</t>
        </is>
      </c>
      <c r="G4" t="n">
        <v>206.6558</v>
      </c>
      <c r="H4" t="inlineStr">
        <is>
          <t>derived from rounded reported share; not original category amount</t>
        </is>
      </c>
      <c r="I4">
        <f>C4*D4/100</f>
        <v/>
      </c>
    </row>
    <row r="5">
      <c r="A5" t="n">
        <v>2024</v>
      </c>
      <c r="B5" t="inlineStr">
        <is>
          <t>old_community</t>
        </is>
      </c>
      <c r="C5" t="n">
        <v>0.15</v>
      </c>
      <c r="D5" t="n">
        <v>1693.9</v>
      </c>
      <c r="E5" t="inlineStr">
        <is>
          <t>https://www.shzfgjj.cn/html/newxxgk/ndbg/227250.html</t>
        </is>
      </c>
      <c r="F5" t="inlineStr">
        <is>
          <t>Share of annual withdrawal amount rounded to 0.01 percentage point</t>
        </is>
      </c>
      <c r="G5" t="n">
        <v>2.54085</v>
      </c>
      <c r="H5" t="inlineStr">
        <is>
          <t>derived from rounded reported share; not original category amount</t>
        </is>
      </c>
      <c r="I5">
        <f>C5*D5/100</f>
        <v/>
      </c>
    </row>
    <row r="6">
      <c r="A6" t="n">
        <v>2024</v>
      </c>
      <c r="B6" t="inlineStr">
        <is>
          <t>retirement</t>
        </is>
      </c>
      <c r="C6" t="n">
        <v>15.16</v>
      </c>
      <c r="D6" t="n">
        <v>1693.9</v>
      </c>
      <c r="E6" t="inlineStr">
        <is>
          <t>https://www.shzfgjj.cn/html/newxxgk/ndbg/227250.html</t>
        </is>
      </c>
      <c r="F6" t="inlineStr">
        <is>
          <t>Share of annual withdrawal amount rounded to 0.01 percentage point</t>
        </is>
      </c>
      <c r="G6" t="n">
        <v>256.79524</v>
      </c>
      <c r="H6" t="inlineStr">
        <is>
          <t>derived from rounded reported share; not original category amount</t>
        </is>
      </c>
      <c r="I6">
        <f>C6*D6/100</f>
        <v/>
      </c>
    </row>
    <row r="7">
      <c r="A7" t="n">
        <v>2024</v>
      </c>
      <c r="B7" t="inlineStr">
        <is>
          <t>loss_work_capacity</t>
        </is>
      </c>
      <c r="C7" t="n">
        <v>0.01</v>
      </c>
      <c r="D7" t="n">
        <v>1693.9</v>
      </c>
      <c r="E7" t="inlineStr">
        <is>
          <t>https://www.shzfgjj.cn/html/newxxgk/ndbg/227250.html</t>
        </is>
      </c>
      <c r="F7" t="inlineStr">
        <is>
          <t>Share of annual withdrawal amount rounded to 0.01 percentage point</t>
        </is>
      </c>
      <c r="G7" t="n">
        <v>0.16939</v>
      </c>
      <c r="H7" t="inlineStr">
        <is>
          <t>derived from rounded reported share; not original category amount</t>
        </is>
      </c>
      <c r="I7">
        <f>C7*D7/100</f>
        <v/>
      </c>
    </row>
    <row r="8">
      <c r="A8" t="n">
        <v>2024</v>
      </c>
      <c r="B8" t="inlineStr">
        <is>
          <t>emigration</t>
        </is>
      </c>
      <c r="C8" t="n">
        <v>0.15</v>
      </c>
      <c r="D8" t="n">
        <v>1693.9</v>
      </c>
      <c r="E8" t="inlineStr">
        <is>
          <t>https://www.shzfgjj.cn/html/newxxgk/ndbg/227250.html</t>
        </is>
      </c>
      <c r="F8" t="inlineStr">
        <is>
          <t>Share of annual withdrawal amount rounded to 0.01 percentage point</t>
        </is>
      </c>
      <c r="G8" t="n">
        <v>2.54085</v>
      </c>
      <c r="H8" t="inlineStr">
        <is>
          <t>derived from rounded reported share; not original category amount</t>
        </is>
      </c>
      <c r="I8">
        <f>C8*D8/100</f>
        <v/>
      </c>
    </row>
    <row r="9">
      <c r="A9" t="n">
        <v>2024</v>
      </c>
      <c r="B9" t="inlineStr">
        <is>
          <t>other</t>
        </is>
      </c>
      <c r="C9" t="n">
        <v>4.9</v>
      </c>
      <c r="D9" t="n">
        <v>1693.9</v>
      </c>
      <c r="E9" t="inlineStr">
        <is>
          <t>https://www.shzfgjj.cn/html/newxxgk/ndbg/227250.html</t>
        </is>
      </c>
      <c r="F9" t="inlineStr">
        <is>
          <t>Share of annual withdrawal amount rounded to 0.01 percentage point</t>
        </is>
      </c>
      <c r="G9" t="n">
        <v>83.00109999999999</v>
      </c>
      <c r="H9" t="inlineStr">
        <is>
          <t>derived from rounded reported share; not original category amount</t>
        </is>
      </c>
      <c r="I9">
        <f>C9*D9/100</f>
        <v/>
      </c>
    </row>
    <row r="10">
      <c r="A10" t="n">
        <v>2025</v>
      </c>
      <c r="B10" t="inlineStr">
        <is>
          <t>purchase_build_repair</t>
        </is>
      </c>
      <c r="C10" t="n">
        <v>6.59</v>
      </c>
      <c r="D10" t="n">
        <v>1842.64</v>
      </c>
      <c r="E10" t="inlineStr">
        <is>
          <t>https://www.shzfgjj.cn/html/newxxgk/ndbg/228312.html</t>
        </is>
      </c>
      <c r="F10" t="inlineStr">
        <is>
          <t>Share of annual withdrawal amount rounded to 0.01 percentage point</t>
        </is>
      </c>
      <c r="G10" t="n">
        <v>121.429976</v>
      </c>
      <c r="H10" t="inlineStr">
        <is>
          <t>derived from rounded reported share; not original category amount</t>
        </is>
      </c>
      <c r="I10">
        <f>C10*D10/100</f>
        <v/>
      </c>
    </row>
    <row r="11">
      <c r="A11" t="n">
        <v>2025</v>
      </c>
      <c r="B11" t="inlineStr">
        <is>
          <t>mortgage_repayment</t>
        </is>
      </c>
      <c r="C11" t="n">
        <v>60.04</v>
      </c>
      <c r="D11" t="n">
        <v>1842.64</v>
      </c>
      <c r="E11" t="inlineStr">
        <is>
          <t>https://www.shzfgjj.cn/html/newxxgk/ndbg/228312.html</t>
        </is>
      </c>
      <c r="F11" t="inlineStr">
        <is>
          <t>Share of annual withdrawal amount rounded to 0.01 percentage point</t>
        </is>
      </c>
      <c r="G11" t="n">
        <v>1106.321056</v>
      </c>
      <c r="H11" t="inlineStr">
        <is>
          <t>derived from rounded reported share; not original category amount</t>
        </is>
      </c>
      <c r="I11">
        <f>C11*D11/100</f>
        <v/>
      </c>
    </row>
    <row r="12">
      <c r="A12" t="n">
        <v>2025</v>
      </c>
      <c r="B12" t="inlineStr">
        <is>
          <t>rent</t>
        </is>
      </c>
      <c r="C12" t="n">
        <v>15.43</v>
      </c>
      <c r="D12" t="n">
        <v>1842.64</v>
      </c>
      <c r="E12" t="inlineStr">
        <is>
          <t>https://www.shzfgjj.cn/html/newxxgk/ndbg/228312.html</t>
        </is>
      </c>
      <c r="F12" t="inlineStr">
        <is>
          <t>Share of annual withdrawal amount rounded to 0.01 percentage point; actual rent amount 284.25 reported separately</t>
        </is>
      </c>
      <c r="G12" t="n">
        <v>284.319352</v>
      </c>
      <c r="H12" t="inlineStr">
        <is>
          <t>derived from rounded reported share; not original category amount</t>
        </is>
      </c>
      <c r="I12">
        <f>C12*D12/100</f>
        <v/>
      </c>
    </row>
    <row r="13">
      <c r="A13" t="n">
        <v>2025</v>
      </c>
      <c r="B13" t="inlineStr">
        <is>
          <t>old_community</t>
        </is>
      </c>
      <c r="C13" t="n">
        <v>0.12</v>
      </c>
      <c r="D13" t="n">
        <v>1842.64</v>
      </c>
      <c r="E13" t="inlineStr">
        <is>
          <t>https://www.shzfgjj.cn/html/newxxgk/ndbg/228312.html</t>
        </is>
      </c>
      <c r="F13" t="inlineStr">
        <is>
          <t>Share of annual withdrawal amount rounded to 0.01 percentage point</t>
        </is>
      </c>
      <c r="G13" t="n">
        <v>2.211168</v>
      </c>
      <c r="H13" t="inlineStr">
        <is>
          <t>derived from rounded reported share; not original category amount</t>
        </is>
      </c>
      <c r="I13">
        <f>C13*D13/100</f>
        <v/>
      </c>
    </row>
    <row r="14">
      <c r="A14" t="n">
        <v>2025</v>
      </c>
      <c r="B14" t="inlineStr">
        <is>
          <t>retirement</t>
        </is>
      </c>
      <c r="C14" t="n">
        <v>12.62</v>
      </c>
      <c r="D14" t="n">
        <v>1842.64</v>
      </c>
      <c r="E14" t="inlineStr">
        <is>
          <t>https://www.shzfgjj.cn/html/newxxgk/ndbg/228312.html</t>
        </is>
      </c>
      <c r="F14" t="inlineStr">
        <is>
          <t>Share of annual withdrawal amount rounded to 0.01 percentage point</t>
        </is>
      </c>
      <c r="G14" t="n">
        <v>232.541168</v>
      </c>
      <c r="H14" t="inlineStr">
        <is>
          <t>derived from rounded reported share; not original category amount</t>
        </is>
      </c>
      <c r="I14">
        <f>C14*D14/100</f>
        <v/>
      </c>
    </row>
    <row r="15">
      <c r="A15" t="n">
        <v>2025</v>
      </c>
      <c r="B15" t="inlineStr">
        <is>
          <t>loss_work_capacity</t>
        </is>
      </c>
      <c r="C15" t="n">
        <v>0.01</v>
      </c>
      <c r="D15" t="n">
        <v>1842.64</v>
      </c>
      <c r="E15" t="inlineStr">
        <is>
          <t>https://www.shzfgjj.cn/html/newxxgk/ndbg/228312.html</t>
        </is>
      </c>
      <c r="F15" t="inlineStr">
        <is>
          <t>Share of annual withdrawal amount rounded to 0.01 percentage point</t>
        </is>
      </c>
      <c r="G15" t="n">
        <v>0.184264</v>
      </c>
      <c r="H15" t="inlineStr">
        <is>
          <t>derived from rounded reported share; not original category amount</t>
        </is>
      </c>
      <c r="I15">
        <f>C15*D15/100</f>
        <v/>
      </c>
    </row>
    <row r="16">
      <c r="A16" t="n">
        <v>2025</v>
      </c>
      <c r="B16" t="inlineStr">
        <is>
          <t>emigration</t>
        </is>
      </c>
      <c r="C16" t="n">
        <v>0.15</v>
      </c>
      <c r="D16" t="n">
        <v>1842.64</v>
      </c>
      <c r="E16" t="inlineStr">
        <is>
          <t>https://www.shzfgjj.cn/html/newxxgk/ndbg/228312.html</t>
        </is>
      </c>
      <c r="F16" t="inlineStr">
        <is>
          <t>Share of annual withdrawal amount rounded to 0.01 percentage point</t>
        </is>
      </c>
      <c r="G16" t="n">
        <v>2.76396</v>
      </c>
      <c r="H16" t="inlineStr">
        <is>
          <t>derived from rounded reported share; not original category amount</t>
        </is>
      </c>
      <c r="I16">
        <f>C16*D16/100</f>
        <v/>
      </c>
    </row>
    <row r="17">
      <c r="A17" t="n">
        <v>2025</v>
      </c>
      <c r="B17" t="inlineStr">
        <is>
          <t>other</t>
        </is>
      </c>
      <c r="C17" t="n">
        <v>5.04</v>
      </c>
      <c r="D17" t="n">
        <v>1842.64</v>
      </c>
      <c r="E17" t="inlineStr">
        <is>
          <t>https://www.shzfgjj.cn/html/newxxgk/ndbg/228312.html</t>
        </is>
      </c>
      <c r="F17" t="inlineStr">
        <is>
          <t>Share of annual withdrawal amount rounded to 0.01 percentage point</t>
        </is>
      </c>
      <c r="G17" t="n">
        <v>92.869056</v>
      </c>
      <c r="H17" t="inlineStr">
        <is>
          <t>derived from rounded reported share; not original category amount</t>
        </is>
      </c>
      <c r="I17">
        <f>C17*D17/100</f>
        <v/>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4" customWidth="1" min="3" max="3"/>
    <col width="30" customWidth="1" min="4" max="4"/>
    <col width="23" customWidth="1" min="5" max="5"/>
    <col width="13" customWidth="1" min="6" max="6"/>
  </cols>
  <sheetData>
    <row r="1">
      <c r="A1" s="1" t="inlineStr">
        <is>
          <t>year</t>
        </is>
      </c>
      <c r="B1" s="1" t="inlineStr">
        <is>
          <t>population</t>
        </is>
      </c>
      <c r="C1" s="1" t="inlineStr">
        <is>
          <t>high_income_share_pct</t>
        </is>
      </c>
      <c r="D1" s="1" t="inlineStr">
        <is>
          <t>low_middle_income_share_pct</t>
        </is>
      </c>
      <c r="E1" s="1" t="inlineStr">
        <is>
          <t>threshold_definition</t>
        </is>
      </c>
      <c r="F1" s="1" t="inlineStr">
        <is>
          <t>source_url</t>
        </is>
      </c>
    </row>
    <row r="2">
      <c r="A2" t="n">
        <v>2024</v>
      </c>
      <c r="B2" t="inlineStr">
        <is>
          <t>annual_active_contributors</t>
        </is>
      </c>
      <c r="C2" t="n">
        <v>8.119999999999999</v>
      </c>
      <c r="D2" t="n">
        <v>91.88</v>
      </c>
      <c r="E2" t="inlineStr">
        <is>
          <t>High income &gt;= 3 times prior-year local average wage</t>
        </is>
      </c>
      <c r="F2" t="inlineStr">
        <is>
          <t>https://www.shzfgjj.cn/html/newxxgk/ndbg/227250.html</t>
        </is>
      </c>
    </row>
    <row r="3">
      <c r="A3" t="n">
        <v>2024</v>
      </c>
      <c r="B3" t="inlineStr">
        <is>
          <t>annual_withdrawers</t>
        </is>
      </c>
      <c r="C3" t="n">
        <v>11.8</v>
      </c>
      <c r="D3" t="n">
        <v>88.2</v>
      </c>
      <c r="E3" t="inlineStr">
        <is>
          <t>High income &gt;= 3 times prior-year local average wage</t>
        </is>
      </c>
      <c r="F3" t="inlineStr">
        <is>
          <t>https://www.shzfgjj.cn/html/newxxgk/ndbg/227250.html</t>
        </is>
      </c>
    </row>
    <row r="4">
      <c r="A4" t="n">
        <v>2024</v>
      </c>
      <c r="B4" t="inlineStr">
        <is>
          <t>new_loan_borrowers</t>
        </is>
      </c>
      <c r="C4" t="n">
        <v>14.43</v>
      </c>
      <c r="D4" t="n">
        <v>85.56999999999999</v>
      </c>
      <c r="E4" t="inlineStr">
        <is>
          <t>High income &gt;= 3 times prior-year local average wage</t>
        </is>
      </c>
      <c r="F4" t="inlineStr">
        <is>
          <t>https://www.shzfgjj.cn/html/newxxgk/ndbg/227250.html</t>
        </is>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1" customWidth="1" min="3" max="3"/>
    <col width="14" customWidth="1" min="4" max="4"/>
    <col width="13" customWidth="1" min="5" max="5"/>
    <col width="18" customWidth="1" min="6" max="6"/>
  </cols>
  <sheetData>
    <row r="1">
      <c r="A1" s="1" t="inlineStr">
        <is>
          <t>year</t>
        </is>
      </c>
      <c r="B1" s="1" t="inlineStr">
        <is>
          <t>category</t>
        </is>
      </c>
      <c r="C1" s="1" t="inlineStr">
        <is>
          <t>reported_share_pct</t>
        </is>
      </c>
      <c r="D1" s="1" t="inlineStr">
        <is>
          <t>denominator</t>
        </is>
      </c>
      <c r="E1" s="1" t="inlineStr">
        <is>
          <t>source_url</t>
        </is>
      </c>
      <c r="F1" s="1" t="inlineStr">
        <is>
          <t>definition_note</t>
        </is>
      </c>
      <c r="G1" t="inlineStr">
        <is>
          <t>estimated_count_10k_formula</t>
        </is>
      </c>
    </row>
    <row r="2">
      <c r="A2" t="n">
        <v>2024</v>
      </c>
      <c r="B2" t="inlineStr">
        <is>
          <t>new_home</t>
        </is>
      </c>
      <c r="C2" t="n">
        <v>30.29</v>
      </c>
      <c r="D2" t="inlineStr">
        <is>
          <t>new_loan_count</t>
        </is>
      </c>
      <c r="E2" t="inlineStr">
        <is>
          <t>https://www.shzfgjj.cn/html/newxxgk/ndbg/227250.html</t>
        </is>
      </c>
      <c r="F2" t="inlineStr">
        <is>
          <t>Share of loan count rounded to 0.01 percentage point</t>
        </is>
      </c>
      <c r="G2">
        <f>10.90*C2/100</f>
        <v/>
      </c>
    </row>
    <row r="3">
      <c r="A3" t="n">
        <v>2024</v>
      </c>
      <c r="B3" t="inlineStr">
        <is>
          <t>resale_home</t>
        </is>
      </c>
      <c r="C3" t="n">
        <v>69.70999999999999</v>
      </c>
      <c r="D3" t="inlineStr">
        <is>
          <t>new_loan_count</t>
        </is>
      </c>
      <c r="E3" t="inlineStr">
        <is>
          <t>https://www.shzfgjj.cn/html/newxxgk/ndbg/227250.html</t>
        </is>
      </c>
      <c r="F3" t="inlineStr">
        <is>
          <t>Share of loan count rounded to 0.01 percentage point</t>
        </is>
      </c>
      <c r="G3">
        <f>10.90*C3/100</f>
        <v/>
      </c>
    </row>
    <row r="4">
      <c r="A4" t="n">
        <v>2024</v>
      </c>
      <c r="B4" t="inlineStr">
        <is>
          <t>first_home</t>
        </is>
      </c>
      <c r="C4" t="n">
        <v>88.94</v>
      </c>
      <c r="D4" t="inlineStr">
        <is>
          <t>new_loan_count</t>
        </is>
      </c>
      <c r="E4" t="inlineStr">
        <is>
          <t>https://www.shzfgjj.cn/html/newxxgk/ndbg/227250.html</t>
        </is>
      </c>
      <c r="F4" t="inlineStr">
        <is>
          <t>Share of loan count rounded to 0.01 percentage point</t>
        </is>
      </c>
      <c r="G4">
        <f>10.90*C4/100</f>
        <v/>
      </c>
    </row>
    <row r="5">
      <c r="A5" t="n">
        <v>2024</v>
      </c>
      <c r="B5" t="inlineStr">
        <is>
          <t>second_or_more_home</t>
        </is>
      </c>
      <c r="C5" t="n">
        <v>11.06</v>
      </c>
      <c r="D5" t="inlineStr">
        <is>
          <t>new_loan_count</t>
        </is>
      </c>
      <c r="E5" t="inlineStr">
        <is>
          <t>https://www.shzfgjj.cn/html/newxxgk/ndbg/227250.html</t>
        </is>
      </c>
      <c r="F5" t="inlineStr">
        <is>
          <t>Share of loan count rounded to 0.01 percentage point</t>
        </is>
      </c>
      <c r="G5">
        <f>10.90*C5/100</f>
        <v/>
      </c>
    </row>
    <row r="6">
      <c r="A6" t="n">
        <v>2025</v>
      </c>
      <c r="B6" t="inlineStr">
        <is>
          <t>new_home</t>
        </is>
      </c>
      <c r="C6" t="n">
        <v>23.98</v>
      </c>
      <c r="D6" t="inlineStr">
        <is>
          <t>new_loan_count</t>
        </is>
      </c>
      <c r="E6" t="inlineStr">
        <is>
          <t>https://www.shzfgjj.cn/html/newxxgk/ndbg/228312.html</t>
        </is>
      </c>
      <c r="F6" t="inlineStr">
        <is>
          <t>Share of loan count rounded to 0.01 percentage point</t>
        </is>
      </c>
      <c r="G6">
        <f>9.42*C6/100</f>
        <v/>
      </c>
    </row>
    <row r="7">
      <c r="A7" t="n">
        <v>2025</v>
      </c>
      <c r="B7" t="inlineStr">
        <is>
          <t>resale_home</t>
        </is>
      </c>
      <c r="C7" t="n">
        <v>76.02</v>
      </c>
      <c r="D7" t="inlineStr">
        <is>
          <t>new_loan_count</t>
        </is>
      </c>
      <c r="E7" t="inlineStr">
        <is>
          <t>https://www.shzfgjj.cn/html/newxxgk/ndbg/228312.html</t>
        </is>
      </c>
      <c r="F7" t="inlineStr">
        <is>
          <t>Share of loan count rounded to 0.01 percentage point</t>
        </is>
      </c>
      <c r="G7">
        <f>9.42*C7/100</f>
        <v/>
      </c>
    </row>
    <row r="8">
      <c r="A8" t="n">
        <v>2025</v>
      </c>
      <c r="B8" t="inlineStr">
        <is>
          <t>first_home</t>
        </is>
      </c>
      <c r="C8" t="n">
        <v>86.79000000000001</v>
      </c>
      <c r="D8" t="inlineStr">
        <is>
          <t>new_loan_count</t>
        </is>
      </c>
      <c r="E8" t="inlineStr">
        <is>
          <t>https://www.shzfgjj.cn/html/newxxgk/ndbg/228312.html</t>
        </is>
      </c>
      <c r="F8" t="inlineStr">
        <is>
          <t>Share of loan count rounded to 0.01 percentage point</t>
        </is>
      </c>
      <c r="G8">
        <f>9.42*C8/100</f>
        <v/>
      </c>
    </row>
    <row r="9">
      <c r="A9" t="n">
        <v>2025</v>
      </c>
      <c r="B9" t="inlineStr">
        <is>
          <t>second_or_more_home</t>
        </is>
      </c>
      <c r="C9" t="n">
        <v>13.21</v>
      </c>
      <c r="D9" t="inlineStr">
        <is>
          <t>new_loan_count</t>
        </is>
      </c>
      <c r="E9" t="inlineStr">
        <is>
          <t>https://www.shzfgjj.cn/html/newxxgk/ndbg/228312.html</t>
        </is>
      </c>
      <c r="F9" t="inlineStr">
        <is>
          <t>Share of loan count rounded to 0.01 percentage point</t>
        </is>
      </c>
      <c r="G9">
        <f>9.42*C9/100</f>
        <v/>
      </c>
    </row>
  </sheetData>
  <autoFilter ref="A1:F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3" customWidth="1" min="4" max="4"/>
    <col width="18" customWidth="1" min="5" max="5"/>
  </cols>
  <sheetData>
    <row r="1">
      <c r="A1" s="1" t="inlineStr">
        <is>
          <t>year</t>
        </is>
      </c>
      <c r="B1" s="1" t="inlineStr">
        <is>
          <t>classification</t>
        </is>
      </c>
      <c r="C1" s="1" t="inlineStr">
        <is>
          <t>share_pct</t>
        </is>
      </c>
      <c r="D1" s="1" t="inlineStr">
        <is>
          <t>source_url</t>
        </is>
      </c>
      <c r="E1" s="1" t="inlineStr">
        <is>
          <t>definition_note</t>
        </is>
      </c>
    </row>
    <row r="2">
      <c r="A2" t="n">
        <v>2024</v>
      </c>
      <c r="B2" t="inlineStr">
        <is>
          <t>国家机关和事业单位</t>
        </is>
      </c>
      <c r="C2" t="n">
        <v>8.41</v>
      </c>
      <c r="D2" t="inlineStr">
        <is>
          <t>https://www.shzfgjj.cn/html/newxxgk/ndbg/227250.html</t>
        </is>
      </c>
      <c r="E2" t="inlineStr">
        <is>
          <t>2024与2025统计分类不可直接对应</t>
        </is>
      </c>
    </row>
    <row r="3">
      <c r="A3" t="n">
        <v>2024</v>
      </c>
      <c r="B3" t="inlineStr">
        <is>
          <t>国有企业</t>
        </is>
      </c>
      <c r="C3" t="n">
        <v>13.85</v>
      </c>
      <c r="D3" t="inlineStr">
        <is>
          <t>https://www.shzfgjj.cn/html/newxxgk/ndbg/227250.html</t>
        </is>
      </c>
      <c r="E3" t="inlineStr">
        <is>
          <t>2024与2025统计分类不可直接对应</t>
        </is>
      </c>
    </row>
    <row r="4">
      <c r="A4" t="n">
        <v>2024</v>
      </c>
      <c r="B4" t="inlineStr">
        <is>
          <t>城镇集体企业</t>
        </is>
      </c>
      <c r="C4" t="n">
        <v>1.51</v>
      </c>
      <c r="D4" t="inlineStr">
        <is>
          <t>https://www.shzfgjj.cn/html/newxxgk/ndbg/227250.html</t>
        </is>
      </c>
      <c r="E4" t="inlineStr">
        <is>
          <t>2024与2025统计分类不可直接对应</t>
        </is>
      </c>
    </row>
    <row r="5">
      <c r="A5" t="n">
        <v>2024</v>
      </c>
      <c r="B5" t="inlineStr">
        <is>
          <t>外商投资企业</t>
        </is>
      </c>
      <c r="C5" t="n">
        <v>16.41</v>
      </c>
      <c r="D5" t="inlineStr">
        <is>
          <t>https://www.shzfgjj.cn/html/newxxgk/ndbg/227250.html</t>
        </is>
      </c>
      <c r="E5" t="inlineStr">
        <is>
          <t>2024与2025统计分类不可直接对应</t>
        </is>
      </c>
    </row>
    <row r="6">
      <c r="A6" t="n">
        <v>2024</v>
      </c>
      <c r="B6" t="inlineStr">
        <is>
          <t>城镇私营企业及其他城镇企业</t>
        </is>
      </c>
      <c r="C6" t="n">
        <v>56.67</v>
      </c>
      <c r="D6" t="inlineStr">
        <is>
          <t>https://www.shzfgjj.cn/html/newxxgk/ndbg/227250.html</t>
        </is>
      </c>
      <c r="E6" t="inlineStr">
        <is>
          <t>2024与2025统计分类不可直接对应</t>
        </is>
      </c>
    </row>
    <row r="7">
      <c r="A7" t="n">
        <v>2024</v>
      </c>
      <c r="B7" t="inlineStr">
        <is>
          <t>民办非企业单位和社会团体</t>
        </is>
      </c>
      <c r="C7" t="n">
        <v>1.21</v>
      </c>
      <c r="D7" t="inlineStr">
        <is>
          <t>https://www.shzfgjj.cn/html/newxxgk/ndbg/227250.html</t>
        </is>
      </c>
      <c r="E7" t="inlineStr">
        <is>
          <t>2024与2025统计分类不可直接对应</t>
        </is>
      </c>
    </row>
    <row r="8">
      <c r="A8" t="n">
        <v>2024</v>
      </c>
      <c r="B8" t="inlineStr">
        <is>
          <t>灵活就业人员</t>
        </is>
      </c>
      <c r="C8" t="n">
        <v>0.05</v>
      </c>
      <c r="D8" t="inlineStr">
        <is>
          <t>https://www.shzfgjj.cn/html/newxxgk/ndbg/227250.html</t>
        </is>
      </c>
      <c r="E8" t="inlineStr">
        <is>
          <t>2024与2025统计分类不可直接对应</t>
        </is>
      </c>
    </row>
    <row r="9">
      <c r="A9" t="n">
        <v>2024</v>
      </c>
      <c r="B9" t="inlineStr">
        <is>
          <t>其他</t>
        </is>
      </c>
      <c r="C9" t="n">
        <v>1.89</v>
      </c>
      <c r="D9" t="inlineStr">
        <is>
          <t>https://www.shzfgjj.cn/html/newxxgk/ndbg/227250.html</t>
        </is>
      </c>
      <c r="E9" t="inlineStr">
        <is>
          <t>2024与2025统计分类不可直接对应</t>
        </is>
      </c>
    </row>
    <row r="10">
      <c r="A10" t="n">
        <v>2025</v>
      </c>
      <c r="B10" t="inlineStr">
        <is>
          <t>企业单位</t>
        </is>
      </c>
      <c r="C10" t="n">
        <v>88.28</v>
      </c>
      <c r="D10" t="inlineStr">
        <is>
          <t>https://www.shzfgjj.cn/html/newxxgk/ndbg/228312.html</t>
        </is>
      </c>
      <c r="E10" t="inlineStr">
        <is>
          <t>2024与2025统计分类不可直接对应</t>
        </is>
      </c>
    </row>
    <row r="11">
      <c r="A11" t="n">
        <v>2025</v>
      </c>
      <c r="B11" t="inlineStr">
        <is>
          <t>非企业单位</t>
        </is>
      </c>
      <c r="C11" t="n">
        <v>11.58</v>
      </c>
      <c r="D11" t="inlineStr">
        <is>
          <t>https://www.shzfgjj.cn/html/newxxgk/ndbg/228312.html</t>
        </is>
      </c>
      <c r="E11" t="inlineStr">
        <is>
          <t>2024与2025统计分类不可直接对应</t>
        </is>
      </c>
    </row>
    <row r="12">
      <c r="A12" t="n">
        <v>2025</v>
      </c>
      <c r="B12" t="inlineStr">
        <is>
          <t>灵活就业人员</t>
        </is>
      </c>
      <c r="C12" t="n">
        <v>0.14</v>
      </c>
      <c r="D12" t="inlineStr">
        <is>
          <t>https://www.shzfgjj.cn/html/newxxgk/ndbg/228312.html</t>
        </is>
      </c>
      <c r="E12" t="inlineStr">
        <is>
          <t>2024与2025统计分类不可直接对应</t>
        </is>
      </c>
    </row>
  </sheetData>
  <autoFilter ref="A1:E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6" customWidth="1" min="4" max="4"/>
    <col width="13" customWidth="1" min="5" max="5"/>
  </cols>
  <sheetData>
    <row r="1">
      <c r="A1" s="1" t="inlineStr">
        <is>
          <t>metric</t>
        </is>
      </c>
      <c r="B1" s="1" t="inlineStr">
        <is>
          <t>year</t>
        </is>
      </c>
      <c r="C1" s="1" t="inlineStr">
        <is>
          <t>amount_100m</t>
        </is>
      </c>
      <c r="D1" s="1" t="inlineStr">
        <is>
          <t>chinese_label</t>
        </is>
      </c>
      <c r="E1" s="1" t="inlineStr">
        <is>
          <t>source_url</t>
        </is>
      </c>
    </row>
    <row r="2">
      <c r="A2" t="inlineStr">
        <is>
          <t>deposit_balance</t>
        </is>
      </c>
      <c r="B2" t="n">
        <v>2024</v>
      </c>
      <c r="C2" t="n">
        <v>2543.08</v>
      </c>
      <c r="D2" t="inlineStr">
        <is>
          <t>存款余额</t>
        </is>
      </c>
      <c r="E2" t="inlineStr">
        <is>
          <t>https://www.shzfgjj.cn/html/newxxgk/ndbg/227250.html</t>
        </is>
      </c>
    </row>
    <row r="3">
      <c r="A3" t="inlineStr">
        <is>
          <t>deposit_balance</t>
        </is>
      </c>
      <c r="B3" t="n">
        <v>2025</v>
      </c>
      <c r="C3" t="n">
        <v>3287.72</v>
      </c>
      <c r="D3" t="inlineStr">
        <is>
          <t>存款余额</t>
        </is>
      </c>
      <c r="E3" t="inlineStr">
        <is>
          <t>https://www.shzfgjj.cn/html/newxxgk/ndbg/228312.html</t>
        </is>
      </c>
    </row>
    <row r="4">
      <c r="A4" t="inlineStr">
        <is>
          <t>time_deposit_over_1y</t>
        </is>
      </c>
      <c r="B4" t="n">
        <v>2024</v>
      </c>
      <c r="C4" t="n">
        <v>1693</v>
      </c>
      <c r="D4" t="inlineStr">
        <is>
          <t>一年以上定期</t>
        </is>
      </c>
      <c r="E4" t="inlineStr">
        <is>
          <t>https://www.shzfgjj.cn/html/newxxgk/ndbg/227250.html</t>
        </is>
      </c>
    </row>
    <row r="5">
      <c r="A5" t="inlineStr">
        <is>
          <t>time_deposit_over_1y</t>
        </is>
      </c>
      <c r="B5" t="n">
        <v>2025</v>
      </c>
      <c r="C5" t="n">
        <v>2523</v>
      </c>
      <c r="D5" t="inlineStr">
        <is>
          <t>一年以上定期</t>
        </is>
      </c>
      <c r="E5" t="inlineStr">
        <is>
          <t>https://www.shzfgjj.cn/html/newxxgk/ndbg/228312.html</t>
        </is>
      </c>
    </row>
    <row r="6">
      <c r="A6" t="inlineStr">
        <is>
          <t>time_deposit_up_to_1y</t>
        </is>
      </c>
      <c r="B6" t="n">
        <v>2024</v>
      </c>
      <c r="C6" t="n">
        <v>125</v>
      </c>
      <c r="D6" t="inlineStr">
        <is>
          <t>一年及以下定期</t>
        </is>
      </c>
      <c r="E6" t="inlineStr">
        <is>
          <t>https://www.shzfgjj.cn/html/newxxgk/ndbg/227250.html</t>
        </is>
      </c>
    </row>
    <row r="7">
      <c r="A7" t="inlineStr">
        <is>
          <t>time_deposit_up_to_1y</t>
        </is>
      </c>
      <c r="B7" t="n">
        <v>2025</v>
      </c>
      <c r="C7" t="n">
        <v>210</v>
      </c>
      <c r="D7" t="inlineStr">
        <is>
          <t>一年及以下定期</t>
        </is>
      </c>
      <c r="E7" t="inlineStr">
        <is>
          <t>https://www.shzfgjj.cn/html/newxxgk/ndbg/228312.html</t>
        </is>
      </c>
    </row>
    <row r="8">
      <c r="A8" t="inlineStr">
        <is>
          <t>other_deposit</t>
        </is>
      </c>
      <c r="B8" t="n">
        <v>2024</v>
      </c>
      <c r="C8" t="n">
        <v>725.08</v>
      </c>
      <c r="D8" t="inlineStr">
        <is>
          <t>其他存款</t>
        </is>
      </c>
      <c r="E8" t="inlineStr">
        <is>
          <t>https://www.shzfgjj.cn/html/newxxgk/ndbg/227250.html</t>
        </is>
      </c>
    </row>
    <row r="9">
      <c r="A9" t="inlineStr">
        <is>
          <t>other_deposit</t>
        </is>
      </c>
      <c r="B9" t="n">
        <v>2025</v>
      </c>
      <c r="C9" t="n">
        <v>554.72</v>
      </c>
      <c r="D9" t="inlineStr">
        <is>
          <t>其他存款</t>
        </is>
      </c>
      <c r="E9" t="inlineStr">
        <is>
          <t>https://www.shzfgjj.cn/html/newxxgk/ndbg/228312.html</t>
        </is>
      </c>
    </row>
    <row r="10">
      <c r="A10" t="inlineStr">
        <is>
          <t>business_income</t>
        </is>
      </c>
      <c r="B10" t="n">
        <v>2024</v>
      </c>
      <c r="C10" t="n">
        <v>272.88</v>
      </c>
      <c r="D10" t="inlineStr">
        <is>
          <t>业务收入</t>
        </is>
      </c>
      <c r="E10" t="inlineStr">
        <is>
          <t>https://www.shzfgjj.cn/html/newxxgk/ndbg/227250.html</t>
        </is>
      </c>
    </row>
    <row r="11">
      <c r="A11" t="inlineStr">
        <is>
          <t>business_income</t>
        </is>
      </c>
      <c r="B11" t="n">
        <v>2025</v>
      </c>
      <c r="C11" t="n">
        <v>261.03</v>
      </c>
      <c r="D11" t="inlineStr">
        <is>
          <t>业务收入</t>
        </is>
      </c>
      <c r="E11" t="inlineStr">
        <is>
          <t>https://www.shzfgjj.cn/html/newxxgk/ndbg/228312.html</t>
        </is>
      </c>
    </row>
    <row r="12">
      <c r="A12" t="inlineStr">
        <is>
          <t>business_expense</t>
        </is>
      </c>
      <c r="B12" t="n">
        <v>2024</v>
      </c>
      <c r="C12" t="n">
        <v>133.2</v>
      </c>
      <c r="D12" t="inlineStr">
        <is>
          <t>业务支出</t>
        </is>
      </c>
      <c r="E12" t="inlineStr">
        <is>
          <t>https://www.shzfgjj.cn/html/newxxgk/ndbg/227250.html</t>
        </is>
      </c>
    </row>
    <row r="13">
      <c r="A13" t="inlineStr">
        <is>
          <t>business_expense</t>
        </is>
      </c>
      <c r="B13" t="n">
        <v>2025</v>
      </c>
      <c r="C13" t="n">
        <v>146.09</v>
      </c>
      <c r="D13" t="inlineStr">
        <is>
          <t>业务支出</t>
        </is>
      </c>
      <c r="E13" t="inlineStr">
        <is>
          <t>https://www.shzfgjj.cn/html/newxxgk/ndbg/228312.html</t>
        </is>
      </c>
    </row>
    <row r="14">
      <c r="A14" t="inlineStr">
        <is>
          <t>added_value_income</t>
        </is>
      </c>
      <c r="B14" t="n">
        <v>2024</v>
      </c>
      <c r="C14" t="n">
        <v>139.68</v>
      </c>
      <c r="D14" t="inlineStr">
        <is>
          <t>增值收益</t>
        </is>
      </c>
      <c r="E14" t="inlineStr">
        <is>
          <t>https://www.shzfgjj.cn/html/newxxgk/ndbg/227250.html</t>
        </is>
      </c>
    </row>
    <row r="15">
      <c r="A15" t="inlineStr">
        <is>
          <t>added_value_income</t>
        </is>
      </c>
      <c r="B15" t="n">
        <v>2025</v>
      </c>
      <c r="C15" t="n">
        <v>114.94</v>
      </c>
      <c r="D15" t="inlineStr">
        <is>
          <t>增值收益</t>
        </is>
      </c>
      <c r="E15" t="inlineStr">
        <is>
          <t>https://www.shzfgjj.cn/html/newxxgk/ndbg/228312.html</t>
        </is>
      </c>
    </row>
    <row r="16">
      <c r="A16" t="inlineStr">
        <is>
          <t>loan_interest_income</t>
        </is>
      </c>
      <c r="B16" t="n">
        <v>2024</v>
      </c>
      <c r="C16" t="n">
        <v>191.13</v>
      </c>
      <c r="D16" t="inlineStr">
        <is>
          <t>委托贷款利息收入</t>
        </is>
      </c>
      <c r="E16" t="inlineStr">
        <is>
          <t>https://www.shzfgjj.cn/html/newxxgk/ndbg/227250.html</t>
        </is>
      </c>
    </row>
    <row r="17">
      <c r="A17" t="inlineStr">
        <is>
          <t>loan_interest_income</t>
        </is>
      </c>
      <c r="B17" t="n">
        <v>2025</v>
      </c>
      <c r="C17" t="n">
        <v>180.96</v>
      </c>
      <c r="D17" t="inlineStr">
        <is>
          <t>委托贷款利息收入</t>
        </is>
      </c>
      <c r="E17" t="inlineStr">
        <is>
          <t>https://www.shzfgjj.cn/html/newxxgk/ndbg/228312.html</t>
        </is>
      </c>
    </row>
    <row r="18">
      <c r="A18" t="inlineStr">
        <is>
          <t>bank_deposit_interest_income</t>
        </is>
      </c>
      <c r="B18" t="n">
        <v>2024</v>
      </c>
      <c r="C18" t="n">
        <v>77.76000000000001</v>
      </c>
      <c r="D18" t="inlineStr">
        <is>
          <t>存款利息收入</t>
        </is>
      </c>
      <c r="E18" t="inlineStr">
        <is>
          <t>https://www.shzfgjj.cn/html/newxxgk/ndbg/227250.html</t>
        </is>
      </c>
    </row>
    <row r="19">
      <c r="A19" t="inlineStr">
        <is>
          <t>bank_deposit_interest_income</t>
        </is>
      </c>
      <c r="B19" t="n">
        <v>2025</v>
      </c>
      <c r="C19" t="n">
        <v>76.02</v>
      </c>
      <c r="D19" t="inlineStr">
        <is>
          <t>存款利息收入</t>
        </is>
      </c>
      <c r="E19" t="inlineStr">
        <is>
          <t>https://www.shzfgjj.cn/html/newxxgk/ndbg/228312.html</t>
        </is>
      </c>
    </row>
    <row r="20">
      <c r="A20" t="inlineStr">
        <is>
          <t>contributor_interest_expense</t>
        </is>
      </c>
      <c r="B20" t="n">
        <v>2024</v>
      </c>
      <c r="C20" t="n">
        <v>125.2</v>
      </c>
      <c r="D20" t="inlineStr">
        <is>
          <t>支付缴存人利息</t>
        </is>
      </c>
      <c r="E20" t="inlineStr">
        <is>
          <t>https://www.shzfgjj.cn/html/newxxgk/ndbg/227250.html</t>
        </is>
      </c>
    </row>
    <row r="21">
      <c r="A21" t="inlineStr">
        <is>
          <t>contributor_interest_expense</t>
        </is>
      </c>
      <c r="B21" t="n">
        <v>2025</v>
      </c>
      <c r="C21" t="n">
        <v>138.15</v>
      </c>
      <c r="D21" t="inlineStr">
        <is>
          <t>支付缴存人利息</t>
        </is>
      </c>
      <c r="E21" t="inlineStr">
        <is>
          <t>https://www.shzfgjj.cn/html/newxxgk/ndbg/228312.html</t>
        </is>
      </c>
    </row>
    <row r="22">
      <c r="A22" t="inlineStr">
        <is>
          <t>risk_reserve_end</t>
        </is>
      </c>
      <c r="B22" t="n">
        <v>2024</v>
      </c>
      <c r="C22" t="n">
        <v>879.3099999999999</v>
      </c>
      <c r="D22" t="inlineStr">
        <is>
          <t>风险准备金期末余额</t>
        </is>
      </c>
      <c r="E22" t="inlineStr">
        <is>
          <t>https://www.shzfgjj.cn/html/newxxgk/ndbg/227250.html</t>
        </is>
      </c>
    </row>
    <row r="23">
      <c r="A23" t="inlineStr">
        <is>
          <t>risk_reserve_end</t>
        </is>
      </c>
      <c r="B23" t="n">
        <v>2025</v>
      </c>
      <c r="C23" t="n">
        <v>969.41</v>
      </c>
      <c r="D23" t="inlineStr">
        <is>
          <t>风险准备金期末余额</t>
        </is>
      </c>
      <c r="E23" t="inlineStr">
        <is>
          <t>https://www.shzfgjj.cn/html/newxxgk/ndbg/228312.html</t>
        </is>
      </c>
    </row>
    <row r="24">
      <c r="A24" t="inlineStr">
        <is>
          <t>risk_reserve_provision</t>
        </is>
      </c>
      <c r="B24" t="n">
        <v>2024</v>
      </c>
      <c r="C24" t="n">
        <v>109.71</v>
      </c>
      <c r="D24" t="inlineStr">
        <is>
          <t>风险准备金当期计提</t>
        </is>
      </c>
      <c r="E24" t="inlineStr">
        <is>
          <t>https://www.shzfgjj.cn/html/newxxgk/ndbg/227250.html</t>
        </is>
      </c>
    </row>
    <row r="25">
      <c r="A25" t="inlineStr">
        <is>
          <t>risk_reserve_provision</t>
        </is>
      </c>
      <c r="B25" t="n">
        <v>2025</v>
      </c>
      <c r="C25" t="n">
        <v>90.09999999999999</v>
      </c>
      <c r="D25" t="inlineStr">
        <is>
          <t>风险准备金当期计提</t>
        </is>
      </c>
      <c r="E25" t="inlineStr">
        <is>
          <t>https://www.shzfgjj.cn/html/newxxgk/ndbg/228312.html</t>
        </is>
      </c>
    </row>
    <row r="26">
      <c r="A26" t="inlineStr">
        <is>
          <t>management_fee_assigned</t>
        </is>
      </c>
      <c r="B26" t="n">
        <v>2024</v>
      </c>
      <c r="C26" t="n">
        <v>2.02</v>
      </c>
      <c r="D26" t="inlineStr">
        <is>
          <t>计提管理费</t>
        </is>
      </c>
      <c r="E26" t="inlineStr">
        <is>
          <t>https://www.shzfgjj.cn/html/newxxgk/ndbg/227250.html</t>
        </is>
      </c>
    </row>
    <row r="27">
      <c r="A27" t="inlineStr">
        <is>
          <t>management_fee_assigned</t>
        </is>
      </c>
      <c r="B27" t="n">
        <v>2025</v>
      </c>
      <c r="C27" t="n">
        <v>2.08</v>
      </c>
      <c r="D27" t="inlineStr">
        <is>
          <t>计提管理费</t>
        </is>
      </c>
      <c r="E27" t="inlineStr">
        <is>
          <t>https://www.shzfgjj.cn/html/newxxgk/ndbg/228312.html</t>
        </is>
      </c>
    </row>
    <row r="28">
      <c r="A28" t="inlineStr">
        <is>
          <t>social_housing_fund_assigned</t>
        </is>
      </c>
      <c r="B28" t="n">
        <v>2024</v>
      </c>
      <c r="C28" t="n">
        <v>27.95</v>
      </c>
      <c r="D28" t="inlineStr">
        <is>
          <t>计提公共租赁住房补充资金</t>
        </is>
      </c>
      <c r="E28" t="inlineStr">
        <is>
          <t>https://www.shzfgjj.cn/html/newxxgk/ndbg/227250.html</t>
        </is>
      </c>
    </row>
    <row r="29">
      <c r="A29" t="inlineStr">
        <is>
          <t>social_housing_fund_assigned</t>
        </is>
      </c>
      <c r="B29" t="n">
        <v>2025</v>
      </c>
      <c r="C29" t="n">
        <v>22.76</v>
      </c>
      <c r="D29" t="inlineStr">
        <is>
          <t>计提公共租赁住房补充资金</t>
        </is>
      </c>
      <c r="E29" t="inlineStr">
        <is>
          <t>https://www.shzfgjj.cn/html/newxxgk/ndbg/228312.html</t>
        </is>
      </c>
    </row>
    <row r="30">
      <c r="A30" t="inlineStr">
        <is>
          <t>social_housing_fund_transferred</t>
        </is>
      </c>
      <c r="B30" t="n">
        <v>2024</v>
      </c>
      <c r="C30" t="n">
        <v>22.73</v>
      </c>
      <c r="D30" t="inlineStr">
        <is>
          <t>上缴财政公共租赁住房补充资金</t>
        </is>
      </c>
      <c r="E30" t="inlineStr">
        <is>
          <t>https://www.shzfgjj.cn/html/newxxgk/ndbg/227250.html</t>
        </is>
      </c>
    </row>
    <row r="31">
      <c r="A31" t="inlineStr">
        <is>
          <t>social_housing_fund_transferred</t>
        </is>
      </c>
      <c r="B31" t="n">
        <v>2025</v>
      </c>
      <c r="C31" t="n">
        <v>68.34999999999999</v>
      </c>
      <c r="D31" t="inlineStr">
        <is>
          <t>上缴财政公共租赁住房补充资金</t>
        </is>
      </c>
      <c r="E31" t="inlineStr">
        <is>
          <t>https://www.shzfgjj.cn/html/newxxgk/ndbg/228312.html</t>
        </is>
      </c>
    </row>
    <row r="32">
      <c r="A32" t="inlineStr">
        <is>
          <t>nonperforming_loans</t>
        </is>
      </c>
      <c r="B32" t="n">
        <v>2025</v>
      </c>
      <c r="C32" t="n">
        <v>8.27</v>
      </c>
      <c r="D32" t="inlineStr">
        <is>
          <t>不良贷款余额</t>
        </is>
      </c>
      <c r="E32" t="inlineStr">
        <is>
          <t>https://www.shzfgjj.cn/html/newxxgk/ndbg/228312.html</t>
        </is>
      </c>
    </row>
    <row r="33">
      <c r="A33" t="inlineStr">
        <is>
          <t>rental_withdrawals</t>
        </is>
      </c>
      <c r="B33" t="n">
        <v>2025</v>
      </c>
      <c r="C33" t="n">
        <v>284.25</v>
      </c>
      <c r="D33" t="inlineStr">
        <is>
          <t>租房提取</t>
        </is>
      </c>
      <c r="E33" t="inlineStr">
        <is>
          <t>https://www.shzfgjj.cn/html/newxxgk/ndbg/228312.html</t>
        </is>
      </c>
    </row>
    <row r="34">
      <c r="A34" t="inlineStr">
        <is>
          <t>deposit_balance</t>
        </is>
      </c>
      <c r="B34" t="n">
        <v>2023</v>
      </c>
      <c r="C34" t="n">
        <v>1801.59</v>
      </c>
      <c r="D34" t="inlineStr">
        <is>
          <t>存款余额</t>
        </is>
      </c>
      <c r="E34" t="inlineStr">
        <is>
          <t>https://www.shzfgjj.cn/html/newxxgk/ndbg/220229.html</t>
        </is>
      </c>
    </row>
    <row r="35">
      <c r="A35" t="inlineStr">
        <is>
          <t>collection_bank_fee</t>
        </is>
      </c>
      <c r="B35" t="n">
        <v>2024</v>
      </c>
      <c r="C35" t="n">
        <v>2.79</v>
      </c>
      <c r="D35" t="inlineStr">
        <is>
          <t>归集手续费</t>
        </is>
      </c>
      <c r="E35" t="inlineStr">
        <is>
          <t>https://www.shzfgjj.cn/html/newxxgk/ndbg/227250.html</t>
        </is>
      </c>
    </row>
    <row r="36">
      <c r="A36" t="inlineStr">
        <is>
          <t>collection_bank_fee</t>
        </is>
      </c>
      <c r="B36" t="n">
        <v>2025</v>
      </c>
      <c r="C36" t="n">
        <v>2.8</v>
      </c>
      <c r="D36" t="inlineStr">
        <is>
          <t>归集手续费</t>
        </is>
      </c>
      <c r="E36" t="inlineStr">
        <is>
          <t>https://www.shzfgjj.cn/html/newxxgk/ndbg/228312.html</t>
        </is>
      </c>
    </row>
    <row r="37">
      <c r="A37" t="inlineStr">
        <is>
          <t>loan_bank_fee</t>
        </is>
      </c>
      <c r="B37" t="n">
        <v>2024</v>
      </c>
      <c r="C37" t="n">
        <v>3.86</v>
      </c>
      <c r="D37" t="inlineStr">
        <is>
          <t>委托贷款手续费</t>
        </is>
      </c>
      <c r="E37" t="inlineStr">
        <is>
          <t>https://www.shzfgjj.cn/html/newxxgk/ndbg/227250.html</t>
        </is>
      </c>
    </row>
    <row r="38">
      <c r="A38" t="inlineStr">
        <is>
          <t>loan_bank_fee</t>
        </is>
      </c>
      <c r="B38" t="n">
        <v>2025</v>
      </c>
      <c r="C38" t="n">
        <v>3.43</v>
      </c>
      <c r="D38" t="inlineStr">
        <is>
          <t>委托贷款手续费</t>
        </is>
      </c>
      <c r="E38" t="inlineStr">
        <is>
          <t>https://www.shzfgjj.cn/html/newxxgk/ndbg/228312.html</t>
        </is>
      </c>
    </row>
    <row r="39">
      <c r="A39" t="inlineStr">
        <is>
          <t>hpf_business_income</t>
        </is>
      </c>
      <c r="B39" t="n">
        <v>2024</v>
      </c>
      <c r="C39" t="n">
        <v>268.98</v>
      </c>
      <c r="D39" t="inlineStr">
        <is>
          <t>住房公积金业务收入</t>
        </is>
      </c>
      <c r="E39" t="inlineStr">
        <is>
          <t>https://www.shzfgjj.cn/html/newxxgk/ndbg/227250.html</t>
        </is>
      </c>
    </row>
    <row r="40">
      <c r="A40" t="inlineStr">
        <is>
          <t>hpf_business_income</t>
        </is>
      </c>
      <c r="B40" t="n">
        <v>2025</v>
      </c>
      <c r="C40" t="n">
        <v>257.01</v>
      </c>
      <c r="D40" t="inlineStr">
        <is>
          <t>住房公积金业务收入</t>
        </is>
      </c>
      <c r="E40" t="inlineStr">
        <is>
          <t>https://www.shzfgjj.cn/html/newxxgk/ndbg/228312.html</t>
        </is>
      </c>
    </row>
    <row r="41">
      <c r="A41" t="inlineStr">
        <is>
          <t>hpf_business_expense</t>
        </is>
      </c>
      <c r="B41" t="n">
        <v>2024</v>
      </c>
      <c r="C41" t="n">
        <v>131.85</v>
      </c>
      <c r="D41" t="inlineStr">
        <is>
          <t>住房公积金业务支出</t>
        </is>
      </c>
      <c r="E41" t="inlineStr">
        <is>
          <t>https://www.shzfgjj.cn/html/newxxgk/ndbg/227250.html</t>
        </is>
      </c>
    </row>
    <row r="42">
      <c r="A42" t="inlineStr">
        <is>
          <t>hpf_business_expense</t>
        </is>
      </c>
      <c r="B42" t="n">
        <v>2025</v>
      </c>
      <c r="C42" t="n">
        <v>144.39</v>
      </c>
      <c r="D42" t="inlineStr">
        <is>
          <t>住房公积金业务支出</t>
        </is>
      </c>
      <c r="E42" t="inlineStr">
        <is>
          <t>https://www.shzfgjj.cn/html/newxxgk/ndbg/228312.html</t>
        </is>
      </c>
    </row>
  </sheetData>
  <autoFilter ref="A1:E4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6" customWidth="1" min="4" max="4"/>
    <col width="13" customWidth="1" min="5" max="5"/>
    <col width="18" customWidth="1" min="6" max="6"/>
  </cols>
  <sheetData>
    <row r="1">
      <c r="A1" s="1" t="inlineStr">
        <is>
          <t>year</t>
        </is>
      </c>
      <c r="B1" s="1" t="inlineStr">
        <is>
          <t>basis</t>
        </is>
      </c>
      <c r="C1" s="1" t="inlineStr">
        <is>
          <t>metric</t>
        </is>
      </c>
      <c r="D1" s="1" t="inlineStr">
        <is>
          <t>value_10k_cny</t>
        </is>
      </c>
      <c r="E1" s="1" t="inlineStr">
        <is>
          <t>source_url</t>
        </is>
      </c>
      <c r="F1" s="1" t="inlineStr">
        <is>
          <t>definition_note</t>
        </is>
      </c>
    </row>
    <row r="2">
      <c r="A2" t="n">
        <v>2024</v>
      </c>
      <c r="B2" t="inlineStr">
        <is>
          <t>unit_final_accounts</t>
        </is>
      </c>
      <c r="C2" t="inlineStr">
        <is>
          <t>total_income</t>
        </is>
      </c>
      <c r="D2" t="n">
        <v>20433.32</v>
      </c>
      <c r="E2" t="inlineStr">
        <is>
          <t>https://www.shzfgjj.cn/html/newxxgk/czgk/img/20250909090058120.pdf</t>
        </is>
      </c>
      <c r="F2" t="inlineStr">
        <is>
          <t>Institutional unit actual revenue not HPF pool revenue</t>
        </is>
      </c>
    </row>
    <row r="3">
      <c r="A3" t="n">
        <v>2024</v>
      </c>
      <c r="B3" t="inlineStr">
        <is>
          <t>unit_final_accounts</t>
        </is>
      </c>
      <c r="C3" t="inlineStr">
        <is>
          <t>fiscal_appropriation_income</t>
        </is>
      </c>
      <c r="D3" t="n">
        <v>20214.11</v>
      </c>
      <c r="E3" t="inlineStr">
        <is>
          <t>https://www.shzfgjj.cn/html/newxxgk/czgk/img/20250909090058120.pdf</t>
        </is>
      </c>
      <c r="F3" t="inlineStr">
        <is>
          <t>Institutional budget fiscal appropriation not direct general-revenue subsidy measure</t>
        </is>
      </c>
    </row>
    <row r="4">
      <c r="A4" t="n">
        <v>2024</v>
      </c>
      <c r="B4" t="inlineStr">
        <is>
          <t>unit_final_accounts</t>
        </is>
      </c>
      <c r="C4" t="inlineStr">
        <is>
          <t>other_income</t>
        </is>
      </c>
      <c r="D4" t="n">
        <v>219.21</v>
      </c>
      <c r="E4" t="inlineStr">
        <is>
          <t>https://www.shzfgjj.cn/html/newxxgk/czgk/img/20250909090058120.pdf</t>
        </is>
      </c>
      <c r="F4" t="inlineStr">
        <is>
          <t>Institutional other income</t>
        </is>
      </c>
    </row>
    <row r="5">
      <c r="A5" t="n">
        <v>2024</v>
      </c>
      <c r="B5" t="inlineStr">
        <is>
          <t>unit_final_accounts</t>
        </is>
      </c>
      <c r="C5" t="inlineStr">
        <is>
          <t>total_expenditure</t>
        </is>
      </c>
      <c r="D5" t="n">
        <v>20632.31</v>
      </c>
      <c r="E5" t="inlineStr">
        <is>
          <t>https://www.shzfgjj.cn/html/newxxgk/czgk/img/20250909090058120.pdf</t>
        </is>
      </c>
      <c r="F5" t="inlineStr">
        <is>
          <t>Institutional unit expenditure includes use of nonfiscal carryover</t>
        </is>
      </c>
    </row>
    <row r="6">
      <c r="A6" t="n">
        <v>2025</v>
      </c>
      <c r="B6" t="inlineStr">
        <is>
          <t>unit_budget</t>
        </is>
      </c>
      <c r="C6" t="inlineStr">
        <is>
          <t>total_income</t>
        </is>
      </c>
      <c r="D6" t="n">
        <v>21235.54</v>
      </c>
      <c r="E6" t="inlineStr">
        <is>
          <t>https://zjw.sh.gov.cn/cmsres/12/129c822a555f472dab56ca1a3a0034cf/4c78aa09135eb9058111207f5e65a1ff.pdf</t>
        </is>
      </c>
      <c r="F6" t="inlineStr">
        <is>
          <t>Institutional planned income not actual</t>
        </is>
      </c>
    </row>
    <row r="7">
      <c r="A7" t="n">
        <v>2025</v>
      </c>
      <c r="B7" t="inlineStr">
        <is>
          <t>unit_budget</t>
        </is>
      </c>
      <c r="C7" t="inlineStr">
        <is>
          <t>fiscal_appropriation_income</t>
        </is>
      </c>
      <c r="D7" t="n">
        <v>20456.57</v>
      </c>
      <c r="E7" t="inlineStr">
        <is>
          <t>https://zjw.sh.gov.cn/cmsres/12/129c822a555f472dab56ca1a3a0034cf/4c78aa09135eb9058111207f5e65a1ff.pdf</t>
        </is>
      </c>
      <c r="F7" t="inlineStr">
        <is>
          <t>Institutional planned fiscal appropriation</t>
        </is>
      </c>
    </row>
    <row r="8">
      <c r="A8" t="n">
        <v>2025</v>
      </c>
      <c r="B8" t="inlineStr">
        <is>
          <t>unit_budget</t>
        </is>
      </c>
      <c r="C8" t="inlineStr">
        <is>
          <t>other_income</t>
        </is>
      </c>
      <c r="D8" t="n">
        <v>778.97</v>
      </c>
      <c r="E8" t="inlineStr">
        <is>
          <t>https://zjw.sh.gov.cn/cmsres/12/129c822a555f472dab56ca1a3a0034cf/4c78aa09135eb9058111207f5e65a1ff.pdf</t>
        </is>
      </c>
      <c r="F8" t="inlineStr">
        <is>
          <t>Institutional planned other income</t>
        </is>
      </c>
    </row>
    <row r="9">
      <c r="A9" t="n">
        <v>2025</v>
      </c>
      <c r="B9" t="inlineStr">
        <is>
          <t>unit_budget</t>
        </is>
      </c>
      <c r="C9" t="inlineStr">
        <is>
          <t>employer_hpf_expenditure</t>
        </is>
      </c>
      <c r="D9" t="n">
        <v>555.42</v>
      </c>
      <c r="E9" t="inlineStr">
        <is>
          <t>https://zjw.sh.gov.cn/cmsres/12/129c822a555f472dab56ca1a3a0034cf/4c78aa09135eb9058111207f5e65a1ff.pdf</t>
        </is>
      </c>
      <c r="F9" t="inlineStr">
        <is>
          <t>Institution employee employer-side HPF planned spending only</t>
        </is>
      </c>
    </row>
    <row r="10">
      <c r="A10" t="n">
        <v>2025</v>
      </c>
      <c r="B10" t="inlineStr">
        <is>
          <t>unit_final_accounts</t>
        </is>
      </c>
      <c r="C10" t="inlineStr">
        <is>
          <t>total_income</t>
        </is>
      </c>
      <c r="D10" t="n">
        <v>21348.58</v>
      </c>
      <c r="E10" t="inlineStr">
        <is>
          <t>https://www.shanghai.gov.cn/cmsres/52/52d88d876d064813879ac4857aac2622/c6eed1e7413a568828be064eaee52710.pdf</t>
        </is>
      </c>
      <c r="F10" t="inlineStr">
        <is>
          <t>Actual unit income not fund pool revenue</t>
        </is>
      </c>
    </row>
    <row r="11">
      <c r="A11" t="n">
        <v>2025</v>
      </c>
      <c r="B11" t="inlineStr">
        <is>
          <t>unit_final_accounts</t>
        </is>
      </c>
      <c r="C11" t="inlineStr">
        <is>
          <t>fiscal_appropriation_income</t>
        </is>
      </c>
      <c r="D11" t="n">
        <v>20782.57</v>
      </c>
      <c r="E11" t="inlineStr">
        <is>
          <t>https://www.shanghai.gov.cn/cmsres/52/52d88d876d064813879ac4857aac2622/c6eed1e7413a568828be064eaee52710.pdf</t>
        </is>
      </c>
      <c r="F11" t="inlineStr">
        <is>
          <t>Actual unit fiscal appropriation; possible same transfer chain as management fee</t>
        </is>
      </c>
    </row>
    <row r="12">
      <c r="A12" t="n">
        <v>2025</v>
      </c>
      <c r="B12" t="inlineStr">
        <is>
          <t>unit_final_accounts</t>
        </is>
      </c>
      <c r="C12" t="inlineStr">
        <is>
          <t>other_income</t>
        </is>
      </c>
      <c r="D12" t="n">
        <v>566.01</v>
      </c>
      <c r="E12" t="inlineStr">
        <is>
          <t>https://www.shanghai.gov.cn/cmsres/52/52d88d876d064813879ac4857aac2622/c6eed1e7413a568828be064eaee52710.pdf</t>
        </is>
      </c>
      <c r="F12" t="inlineStr">
        <is>
          <t>Actual unit other income</t>
        </is>
      </c>
    </row>
    <row r="13">
      <c r="A13" t="n">
        <v>2025</v>
      </c>
      <c r="B13" t="inlineStr">
        <is>
          <t>unit_final_accounts</t>
        </is>
      </c>
      <c r="C13" t="inlineStr">
        <is>
          <t>total_expenditure</t>
        </is>
      </c>
      <c r="D13" t="n">
        <v>21551.31</v>
      </c>
      <c r="E13" t="inlineStr">
        <is>
          <t>https://www.shanghai.gov.cn/cmsres/52/52d88d876d064813879ac4857aac2622/c6eed1e7413a568828be064eaee52710.pdf</t>
        </is>
      </c>
      <c r="F13" t="inlineStr">
        <is>
          <t>Actual unit spending includes nonfiscal carryover</t>
        </is>
      </c>
    </row>
    <row r="14">
      <c r="A14" t="n">
        <v>2025</v>
      </c>
      <c r="B14" t="inlineStr">
        <is>
          <t>unit_final_accounts</t>
        </is>
      </c>
      <c r="C14" t="inlineStr">
        <is>
          <t>employer_hpf_expenditure</t>
        </is>
      </c>
      <c r="D14" t="n">
        <v>556.73</v>
      </c>
      <c r="E14" t="inlineStr">
        <is>
          <t>https://www.shanghai.gov.cn/cmsres/52/52d88d876d064813879ac4857aac2622/c6eed1e7413a568828be064eaee52710.pdf</t>
        </is>
      </c>
      <c r="F14" t="inlineStr">
        <is>
          <t>Institution employee employer-side HPF actual spending only</t>
        </is>
      </c>
    </row>
    <row r="15">
      <c r="A15" t="n">
        <v>2025</v>
      </c>
      <c r="B15" t="inlineStr">
        <is>
          <t>unit_final_accounts</t>
        </is>
      </c>
      <c r="C15" t="inlineStr">
        <is>
          <t>performance_pay</t>
        </is>
      </c>
      <c r="D15" t="n">
        <v>7004.25</v>
      </c>
      <c r="E15" t="inlineStr">
        <is>
          <t>https://www.shanghai.gov.cn/cmsres/52/52d88d876d064813879ac4857aac2622/c6eed1e7413a568828be064eaee52710.pdf</t>
        </is>
      </c>
      <c r="F15" t="inlineStr">
        <is>
          <t>Institution staff performance pay actual spending only</t>
        </is>
      </c>
    </row>
  </sheetData>
  <autoFilter ref="A1:F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34" customWidth="1" min="3" max="3"/>
    <col width="22" customWidth="1" min="4" max="4"/>
    <col width="13" customWidth="1" min="5" max="5"/>
    <col width="18" customWidth="1" min="6" max="6"/>
  </cols>
  <sheetData>
    <row r="1">
      <c r="A1" s="1" t="inlineStr">
        <is>
          <t>year</t>
        </is>
      </c>
      <c r="B1" s="1" t="inlineStr">
        <is>
          <t>hpf_added_value_100m</t>
        </is>
      </c>
      <c r="C1" s="1" t="inlineStr">
        <is>
          <t>reported_total_added_value_100m</t>
        </is>
      </c>
      <c r="D1" s="1" t="inlineStr">
        <is>
          <t>risk_provision_100m</t>
        </is>
      </c>
      <c r="E1" s="1" t="inlineStr">
        <is>
          <t>source_url</t>
        </is>
      </c>
      <c r="F1" s="1" t="inlineStr">
        <is>
          <t>definition_note</t>
        </is>
      </c>
      <c r="G1" t="inlineStr">
        <is>
          <t>risk_share_of_hpf_gain_pct_formula</t>
        </is>
      </c>
    </row>
    <row r="2">
      <c r="A2" t="n">
        <v>2015</v>
      </c>
      <c r="B2" t="n">
        <v>82.06999999999999</v>
      </c>
      <c r="C2" t="n">
        <v>82.06999999999999</v>
      </c>
      <c r="D2" t="n">
        <v>46.73</v>
      </c>
      <c r="E2" t="inlineStr">
        <is>
          <t>https://www.shzfgjj.cn/html/newxxgk/ndbg/208089.html</t>
        </is>
      </c>
      <c r="F2" t="inlineStr">
        <is>
          <t>HPF-specific added value as reported</t>
        </is>
      </c>
      <c r="G2">
        <f>D2/B2*100</f>
        <v/>
      </c>
    </row>
    <row r="3">
      <c r="A3" t="n">
        <v>2016</v>
      </c>
      <c r="B3" t="inlineStr"/>
      <c r="C3" t="n">
        <v>40.03</v>
      </c>
      <c r="D3" t="n">
        <v>31.25</v>
      </c>
      <c r="E3" t="inlineStr">
        <is>
          <t>https://www.shzfgjj.cn/html/newxxgk/ndbg/208088.html</t>
        </is>
      </c>
      <c r="F3" t="inlineStr">
        <is>
          <t>HPF-specific added value not separately stated in report text</t>
        </is>
      </c>
      <c r="G3">
        <f>D3/B3*100</f>
        <v/>
      </c>
    </row>
    <row r="4">
      <c r="A4" t="n">
        <v>2017</v>
      </c>
      <c r="B4" t="n">
        <v>60.44</v>
      </c>
      <c r="C4" t="inlineStr"/>
      <c r="D4" t="n">
        <v>36.31</v>
      </c>
      <c r="E4" t="inlineStr">
        <is>
          <t>https://www.shzfgjj.cn/html/newxxgk/ndbg/208087.html</t>
        </is>
      </c>
      <c r="F4" t="inlineStr">
        <is>
          <t>HPF-specific added value as reported</t>
        </is>
      </c>
      <c r="G4">
        <f>D4/B4*100</f>
        <v/>
      </c>
    </row>
    <row r="5">
      <c r="A5" t="n">
        <v>2018</v>
      </c>
      <c r="B5" t="n">
        <v>70.83</v>
      </c>
      <c r="C5" t="n">
        <v>72.20999999999999</v>
      </c>
      <c r="D5" t="n">
        <v>42.38</v>
      </c>
      <c r="E5" t="inlineStr">
        <is>
          <t>https://www.shzfgjj.cn/html/newxxgk/ndbg/208086.html</t>
        </is>
      </c>
      <c r="F5" t="inlineStr">
        <is>
          <t>HPF-specific added value as reported</t>
        </is>
      </c>
      <c r="G5">
        <f>D5/B5*100</f>
        <v/>
      </c>
    </row>
    <row r="6">
      <c r="A6" t="n">
        <v>2019</v>
      </c>
      <c r="B6" t="n">
        <v>83.98</v>
      </c>
      <c r="C6" t="n">
        <v>85.18000000000001</v>
      </c>
      <c r="D6" t="n">
        <v>50.22</v>
      </c>
      <c r="E6" t="inlineStr">
        <is>
          <t>https://www.shzfgjj.cn/html/newxxgk/ndbg/208085.html</t>
        </is>
      </c>
      <c r="F6" t="inlineStr">
        <is>
          <t>HPF-specific added value as reported</t>
        </is>
      </c>
      <c r="G6">
        <f>D6/B6*100</f>
        <v/>
      </c>
    </row>
    <row r="7">
      <c r="A7" t="n">
        <v>2020</v>
      </c>
      <c r="B7" t="n">
        <v>96.88</v>
      </c>
      <c r="C7" t="n">
        <v>98.34</v>
      </c>
      <c r="D7" t="n">
        <v>95.48</v>
      </c>
      <c r="E7" t="inlineStr">
        <is>
          <t>https://www.shzfgjj.cn/html/zyxw/209278.html</t>
        </is>
      </c>
      <c r="F7" t="inlineStr">
        <is>
          <t>HPF-specific added value as reported</t>
        </is>
      </c>
      <c r="G7">
        <f>D7/B7*100</f>
        <v/>
      </c>
    </row>
    <row r="8">
      <c r="A8" t="n">
        <v>2021</v>
      </c>
      <c r="B8" t="n">
        <v>108.71</v>
      </c>
      <c r="C8" t="n">
        <v>110.63</v>
      </c>
      <c r="D8" t="n">
        <v>86.97</v>
      </c>
      <c r="E8" t="inlineStr">
        <is>
          <t>https://www.shzfgjj.cn/html/newxxgk/ndbg/209227.html</t>
        </is>
      </c>
      <c r="F8" t="inlineStr">
        <is>
          <t>HPF-specific added value as reported</t>
        </is>
      </c>
      <c r="G8">
        <f>D8/B8*100</f>
        <v/>
      </c>
    </row>
    <row r="9">
      <c r="A9" t="n">
        <v>2022</v>
      </c>
      <c r="B9" t="n">
        <v>123.03</v>
      </c>
      <c r="C9" t="n">
        <v>124.86</v>
      </c>
      <c r="D9" t="n">
        <v>98.42</v>
      </c>
      <c r="E9" t="inlineStr">
        <is>
          <t>https://www.shzfgjj.cn/html/newxxgk/ndbg/213689.html</t>
        </is>
      </c>
      <c r="F9" t="inlineStr">
        <is>
          <t>HPF-specific added value as reported</t>
        </is>
      </c>
      <c r="G9">
        <f>D9/B9*100</f>
        <v/>
      </c>
    </row>
    <row r="10">
      <c r="A10" t="n">
        <v>2023</v>
      </c>
      <c r="B10" t="n">
        <v>123.68</v>
      </c>
      <c r="C10" t="n">
        <v>125.82</v>
      </c>
      <c r="D10" t="n">
        <v>98.94</v>
      </c>
      <c r="E10" t="inlineStr">
        <is>
          <t>https://www.shzfgjj.cn/html/newxxgk/ndbg/220229.html</t>
        </is>
      </c>
      <c r="F10" t="inlineStr">
        <is>
          <t>HPF-specific added value as reported</t>
        </is>
      </c>
      <c r="G10">
        <f>D10/B10*100</f>
        <v/>
      </c>
    </row>
    <row r="11">
      <c r="A11" t="n">
        <v>2024</v>
      </c>
      <c r="B11" t="n">
        <v>137.13</v>
      </c>
      <c r="C11" t="n">
        <v>139.68</v>
      </c>
      <c r="D11" t="n">
        <v>109.71</v>
      </c>
      <c r="E11" t="inlineStr">
        <is>
          <t>https://www.shzfgjj.cn/html/newxxgk/ndbg/227250.html</t>
        </is>
      </c>
      <c r="F11" t="inlineStr">
        <is>
          <t>HPF-specific added value as reported</t>
        </is>
      </c>
      <c r="G11">
        <f>D11/B11*100</f>
        <v/>
      </c>
    </row>
    <row r="12">
      <c r="A12" t="n">
        <v>2025</v>
      </c>
      <c r="B12" t="n">
        <v>112.62</v>
      </c>
      <c r="C12" t="n">
        <v>114.94</v>
      </c>
      <c r="D12" t="n">
        <v>90.09999999999999</v>
      </c>
      <c r="E12" t="inlineStr">
        <is>
          <t>https://www.shzfgjj.cn/html/newxxgk/ndbg/228312.html</t>
        </is>
      </c>
      <c r="F12" t="inlineStr">
        <is>
          <t>HPF-specific added value as reported</t>
        </is>
      </c>
      <c r="G12">
        <f>D12/B12*100</f>
        <v/>
      </c>
    </row>
  </sheetData>
  <autoFilter ref="A1:F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3" customWidth="1" min="3" max="3"/>
    <col width="13" customWidth="1" min="4" max="4"/>
    <col width="20" customWidth="1" min="5" max="5"/>
  </cols>
  <sheetData>
    <row r="1">
      <c r="A1" s="1" t="inlineStr">
        <is>
          <t>effective_date</t>
        </is>
      </c>
      <c r="B1" s="1" t="inlineStr">
        <is>
          <t>policy</t>
        </is>
      </c>
      <c r="C1" s="1" t="inlineStr">
        <is>
          <t>impact</t>
        </is>
      </c>
      <c r="D1" s="1" t="inlineStr">
        <is>
          <t>source_url</t>
        </is>
      </c>
      <c r="E1" s="1" t="inlineStr">
        <is>
          <t>verification_note</t>
        </is>
      </c>
    </row>
    <row r="2">
      <c r="A2" t="inlineStr">
        <is>
          <t>2016-02-21</t>
        </is>
      </c>
      <c r="B2" t="inlineStr">
        <is>
          <t>个人账户存款计息调整</t>
        </is>
      </c>
      <c r="C2" t="inlineStr">
        <is>
          <t>按一年期定期存款基准利率统一计息</t>
        </is>
      </c>
      <c r="D2" t="inlineStr">
        <is>
          <t>https://www.shzfgjj.cn/html/newxxgk/ndbg/208088.html</t>
        </is>
      </c>
      <c r="E2" t="inlineStr">
        <is>
          <t>历史报告记载</t>
        </is>
      </c>
    </row>
    <row r="3">
      <c r="A3" t="inlineStr">
        <is>
          <t>2016-11-28</t>
        </is>
      </c>
      <c r="B3" t="inlineStr">
        <is>
          <t>二套房贷款政策调整</t>
        </is>
      </c>
      <c r="C3" t="inlineStr">
        <is>
          <t>二套首付与贷款资格收紧</t>
        </is>
      </c>
      <c r="D3" t="inlineStr">
        <is>
          <t>https://www.shzfgjj.cn/html/newxxgk/ndbg/208088.html</t>
        </is>
      </c>
      <c r="E3" t="inlineStr">
        <is>
          <t>历史报告记载</t>
        </is>
      </c>
    </row>
    <row r="4">
      <c r="A4" t="inlineStr">
        <is>
          <t>2022-06-01</t>
        </is>
      </c>
      <c r="B4" t="inlineStr">
        <is>
          <t>市场租赁住房提取月限额调整</t>
        </is>
      </c>
      <c r="C4" t="inlineStr">
        <is>
          <t>月限额2500元调整为3000元</t>
        </is>
      </c>
      <c r="D4" t="inlineStr">
        <is>
          <t>https://www.shzfgjj.cn/html/newxxgk/zcwj/gjjgwh/albpl/qt/209338.html</t>
        </is>
      </c>
      <c r="E4" t="inlineStr">
        <is>
          <t>官方2022实施细则</t>
        </is>
      </c>
    </row>
    <row r="5">
      <c r="A5" t="inlineStr">
        <is>
          <t>2023-04-01</t>
        </is>
      </c>
      <c r="B5" t="inlineStr">
        <is>
          <t>上海缴存管理办法</t>
        </is>
      </c>
      <c r="C5" t="inlineStr">
        <is>
          <t>统一单位缴存及补充公积金缴存规则</t>
        </is>
      </c>
      <c r="D5" t="inlineStr">
        <is>
          <t>https://www.shanghai.gov.cn/gwk/affairs/content/0064%4003d6f8b173fb4927b9a475f0e764b9dd</t>
        </is>
      </c>
      <c r="E5" t="inlineStr">
        <is>
          <t>官方印发日期2023-03-31</t>
        </is>
      </c>
    </row>
    <row r="6">
      <c r="A6" t="inlineStr">
        <is>
          <t>2023-04-01</t>
        </is>
      </c>
      <c r="B6" t="inlineStr">
        <is>
          <t>上海提取管理办法</t>
        </is>
      </c>
      <c r="C6" t="inlineStr">
        <is>
          <t>规范购租房及其他提取资格和办理</t>
        </is>
      </c>
      <c r="D6" t="inlineStr">
        <is>
          <t>https://www.shanghai.gov.cn/qyzfgjjsjzc/20240927/70392c98a8304968a46e8bb62b062f25.html</t>
        </is>
      </c>
      <c r="E6" t="inlineStr">
        <is>
          <t>官方印发日期2023-03-31</t>
        </is>
      </c>
    </row>
    <row r="7">
      <c r="A7" t="inlineStr">
        <is>
          <t>2023-04-01</t>
        </is>
      </c>
      <c r="B7" t="inlineStr">
        <is>
          <t>上海个人住房贷款管理办法</t>
        </is>
      </c>
      <c r="C7" t="inlineStr">
        <is>
          <t>规定贷款资格额度风险管理及受托职责</t>
        </is>
      </c>
      <c r="D7" t="inlineStr">
        <is>
          <t>https://service.shanghai.gov.cn/xingzhengwendangkujyh/XZGFDetails.aspx?docid=230412111425Nl1f9zoHKKGc4XmLxSw</t>
        </is>
      </c>
      <c r="E7" t="inlineStr">
        <is>
          <t>官方文件编号沪公积金管委会〔2023〕5号</t>
        </is>
      </c>
    </row>
    <row r="8">
      <c r="A8" t="inlineStr">
        <is>
          <t>2024-05-18</t>
        </is>
      </c>
      <c r="B8" t="inlineStr">
        <is>
          <t>个人住房公积金贷款利率下调</t>
        </is>
      </c>
      <c r="C8" t="inlineStr">
        <is>
          <t>首套五年以上贷款利率调整为2.85%</t>
        </is>
      </c>
      <c r="D8" t="inlineStr">
        <is>
          <t>https://www.shzfgjj.cn/html/newxxgk/ndbg/227250.html</t>
        </is>
      </c>
      <c r="E8" t="inlineStr">
        <is>
          <t>2024年报记载；贷款合同跨年重定价需区分</t>
        </is>
      </c>
    </row>
    <row r="9">
      <c r="A9" t="inlineStr">
        <is>
          <t>2024-11-01</t>
        </is>
      </c>
      <c r="B9" t="inlineStr">
        <is>
          <t>租赁提取政策优化</t>
        </is>
      </c>
      <c r="C9" t="inlineStr">
        <is>
          <t>市场租赁住房家庭月限额3000元提高至4000元且新申请定期转账由季度改月度</t>
        </is>
      </c>
      <c r="D9" t="inlineStr">
        <is>
          <t>https://www.shzfgjj.cn/html/newxxgk/zcwj/gfxwj/224701.html</t>
        </is>
      </c>
      <c r="E9" t="inlineStr">
        <is>
          <t>2025租房提取增长的候选机制；旧申请保留原频次</t>
        </is>
      </c>
    </row>
    <row r="10">
      <c r="A10" t="inlineStr">
        <is>
          <t>2025-05-08</t>
        </is>
      </c>
      <c r="B10" t="inlineStr">
        <is>
          <t>个人住房公积金贷款利率下调</t>
        </is>
      </c>
      <c r="C10" t="inlineStr">
        <is>
          <t>首套五年以上2.6%</t>
        </is>
      </c>
      <c r="D10" t="inlineStr">
        <is>
          <t>https://www.shzfgjj.cn/html/newxxgk/zcwj/gjjgwh/albpl/dk/227927.html</t>
        </is>
      </c>
      <c r="E10" t="inlineStr">
        <is>
          <t>官方通知</t>
        </is>
      </c>
    </row>
    <row r="11">
      <c r="A11" t="inlineStr">
        <is>
          <t>2025-06-01</t>
        </is>
      </c>
      <c r="B11" t="inlineStr">
        <is>
          <t>灵活就业人员缴存政策</t>
        </is>
      </c>
      <c r="C11" t="inlineStr">
        <is>
          <t>扩大自愿缴存制度覆盖</t>
        </is>
      </c>
      <c r="D11" t="inlineStr">
        <is>
          <t>https://www.shzfgjj.cn/html/newxxgk/zcwj/gfxwj/227794.html</t>
        </is>
      </c>
      <c r="E11" t="inlineStr">
        <is>
          <t>官方通知</t>
        </is>
      </c>
    </row>
    <row r="12">
      <c r="A12" t="inlineStr">
        <is>
          <t>2025-07-01</t>
        </is>
      </c>
      <c r="B12" t="inlineStr">
        <is>
          <t>2025年度缴存基数</t>
        </is>
      </c>
      <c r="C12" t="inlineStr">
        <is>
          <t>2690至37302元及基本和补充缴存规则</t>
        </is>
      </c>
      <c r="D12" t="inlineStr">
        <is>
          <t>https://www.shzfgjj.cn/html/newxxgk/zcwj/gfxwj/228051.html</t>
        </is>
      </c>
      <c r="E12" t="inlineStr">
        <is>
          <t>官方通知</t>
        </is>
      </c>
    </row>
    <row r="13">
      <c r="A13" t="inlineStr">
        <is>
          <t>2025-08-26</t>
        </is>
      </c>
      <c r="B13" t="inlineStr">
        <is>
          <t>绿色建筑购房贷款额度</t>
        </is>
      </c>
      <c r="C13" t="inlineStr">
        <is>
          <t>符合条件时上浮15%</t>
        </is>
      </c>
      <c r="D13" t="inlineStr">
        <is>
          <t>https://www.shzfgjj.cn/html/newxxgk/zcwj/gfxwj/228079.html</t>
        </is>
      </c>
      <c r="E13" t="inlineStr">
        <is>
          <t>官方通知</t>
        </is>
      </c>
    </row>
    <row r="14">
      <c r="A14" t="inlineStr">
        <is>
          <t>2026-09-20</t>
        </is>
      </c>
      <c r="B14" t="inlineStr">
        <is>
          <t>国务院令第844号修订住房公积金条例</t>
        </is>
      </c>
      <c r="C14" t="inlineStr">
        <is>
          <t>不适用于2025年基准期</t>
        </is>
      </c>
      <c r="D14" t="inlineStr">
        <is>
          <t>https://www.mee.gov.cn/zcwj/gwywj/202608/t20260820_1164286.shtml</t>
        </is>
      </c>
      <c r="E14" t="inlineStr">
        <is>
          <t>研究后续制度</t>
        </is>
      </c>
    </row>
  </sheetData>
  <autoFilter ref="A1:E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8" customWidth="1" min="6" max="6"/>
  </cols>
  <sheetData>
    <row r="1">
      <c r="A1" s="1" t="inlineStr">
        <is>
          <t>year</t>
        </is>
      </c>
      <c r="B1" s="1" t="inlineStr">
        <is>
          <t>metric</t>
        </is>
      </c>
      <c r="C1" s="1" t="inlineStr">
        <is>
          <t>value</t>
        </is>
      </c>
      <c r="D1" s="1" t="inlineStr">
        <is>
          <t>unit</t>
        </is>
      </c>
      <c r="E1" s="1" t="inlineStr">
        <is>
          <t>source_url</t>
        </is>
      </c>
      <c r="F1" s="1" t="inlineStr">
        <is>
          <t>definition_note</t>
        </is>
      </c>
    </row>
    <row r="2">
      <c r="A2" t="n">
        <v>2024</v>
      </c>
      <c r="B2" t="inlineStr">
        <is>
          <t>resident_population</t>
        </is>
      </c>
      <c r="C2" t="n">
        <v>2480.26</v>
      </c>
      <c r="D2" t="inlineStr">
        <is>
          <t>10000_persons</t>
        </is>
      </c>
      <c r="E2" t="inlineStr">
        <is>
          <t>https://tjj.sh.gov.cn/tjgb/20250324/a7fe18c6d5c24d66bfca89c5bb4cdcfb.html</t>
        </is>
      </c>
      <c r="F2" t="inlineStr">
        <is>
          <t>Year-end resident population not HPF eligible base</t>
        </is>
      </c>
    </row>
    <row r="3">
      <c r="A3" t="n">
        <v>2025</v>
      </c>
      <c r="B3" t="inlineStr">
        <is>
          <t>resident_population</t>
        </is>
      </c>
      <c r="C3" t="n">
        <v>2485.41</v>
      </c>
      <c r="D3" t="inlineStr">
        <is>
          <t>10000_persons</t>
        </is>
      </c>
      <c r="E3" t="inlineStr">
        <is>
          <t>https://tjj.sh.gov.cn/tjgb/20260330/e0772941e8e041eaaad2df850b44ef98.html</t>
        </is>
      </c>
      <c r="F3" t="inlineStr">
        <is>
          <t>Year-end resident population not HPF eligible base</t>
        </is>
      </c>
    </row>
    <row r="4">
      <c r="A4" t="n">
        <v>2024</v>
      </c>
      <c r="B4" t="inlineStr">
        <is>
          <t>nonlocal_resident_population</t>
        </is>
      </c>
      <c r="C4" t="n">
        <v>983.49</v>
      </c>
      <c r="D4" t="inlineStr">
        <is>
          <t>10000_persons</t>
        </is>
      </c>
      <c r="E4" t="inlineStr">
        <is>
          <t>https://tjj.sh.gov.cn/tjgb/20250324/a7fe18c6d5c24d66bfca89c5bb4cdcfb.html</t>
        </is>
      </c>
      <c r="F4" t="inlineStr">
        <is>
          <t>Non-local household-registration resident population</t>
        </is>
      </c>
    </row>
    <row r="5">
      <c r="A5" t="n">
        <v>2025</v>
      </c>
      <c r="B5" t="inlineStr">
        <is>
          <t>nonlocal_resident_population</t>
        </is>
      </c>
      <c r="C5" t="n">
        <v>974.5</v>
      </c>
      <c r="D5" t="inlineStr">
        <is>
          <t>10000_persons</t>
        </is>
      </c>
      <c r="E5" t="inlineStr">
        <is>
          <t>https://tjj.sh.gov.cn/tjgb/20260330/e0772941e8e041eaaad2df850b44ef98.html</t>
        </is>
      </c>
      <c r="F5" t="inlineStr">
        <is>
          <t>Non-local household-registration resident population</t>
        </is>
      </c>
    </row>
    <row r="6">
      <c r="A6" t="n">
        <v>2024</v>
      </c>
      <c r="B6" t="inlineStr">
        <is>
          <t>new_urban_employment</t>
        </is>
      </c>
      <c r="C6" t="n">
        <v>62.17</v>
      </c>
      <c r="D6" t="inlineStr">
        <is>
          <t>10000_persons</t>
        </is>
      </c>
      <c r="E6" t="inlineStr">
        <is>
          <t>https://tjj.sh.gov.cn/tjgb/20250324/a7fe18c6d5c24d66bfca89c5bb4cdcfb.html</t>
        </is>
      </c>
      <c r="F6" t="inlineStr">
        <is>
          <t>Gross new urban employment not net active HPF contributors</t>
        </is>
      </c>
    </row>
    <row r="7">
      <c r="A7" t="n">
        <v>2025</v>
      </c>
      <c r="B7" t="inlineStr">
        <is>
          <t>new_urban_employment</t>
        </is>
      </c>
      <c r="C7" t="n">
        <v>64.09999999999999</v>
      </c>
      <c r="D7" t="inlineStr">
        <is>
          <t>10000_persons</t>
        </is>
      </c>
      <c r="E7" t="inlineStr">
        <is>
          <t>https://tjj.sh.gov.cn/tjgb/20260330/e0772941e8e041eaaad2df850b44ef98.html</t>
        </is>
      </c>
      <c r="F7" t="inlineStr">
        <is>
          <t>Gross new urban employment not net active HPF contributors</t>
        </is>
      </c>
    </row>
    <row r="8">
      <c r="A8" t="n">
        <v>2024</v>
      </c>
      <c r="B8" t="inlineStr">
        <is>
          <t>average_disposable_income</t>
        </is>
      </c>
      <c r="C8" t="n">
        <v>88366</v>
      </c>
      <c r="D8" t="inlineStr">
        <is>
          <t>CNY_per_person_year</t>
        </is>
      </c>
      <c r="E8" t="inlineStr">
        <is>
          <t>https://tjj.sh.gov.cn/tjgb/20250324/a7fe18c6d5c24d66bfca89c5bb4cdcfb.html</t>
        </is>
      </c>
      <c r="F8" t="inlineStr">
        <is>
          <t>All resident per-capita disposable income not employee wage</t>
        </is>
      </c>
    </row>
    <row r="9">
      <c r="A9" t="n">
        <v>2025</v>
      </c>
      <c r="B9" t="inlineStr">
        <is>
          <t>average_disposable_income</t>
        </is>
      </c>
      <c r="C9" t="n">
        <v>91987</v>
      </c>
      <c r="D9" t="inlineStr">
        <is>
          <t>CNY_per_person_year</t>
        </is>
      </c>
      <c r="E9" t="inlineStr">
        <is>
          <t>https://tjj.sh.gov.cn/tjgb/20260330/e0772941e8e041eaaad2df850b44ef98.html</t>
        </is>
      </c>
      <c r="F9" t="inlineStr">
        <is>
          <t>All resident per-capita disposable income not employee wage</t>
        </is>
      </c>
    </row>
    <row r="10">
      <c r="A10" t="n">
        <v>2024</v>
      </c>
      <c r="B10" t="inlineStr">
        <is>
          <t>new_residential_sales_area</t>
        </is>
      </c>
      <c r="C10" t="n">
        <v>1356.73</v>
      </c>
      <c r="D10" t="inlineStr">
        <is>
          <t>10000_m2</t>
        </is>
      </c>
      <c r="E10" t="inlineStr">
        <is>
          <t>https://tjj.sh.gov.cn/tjgb/20250324/a7fe18c6d5c24d66bfca89c5bb4cdcfb.html</t>
        </is>
      </c>
      <c r="F10" t="inlineStr">
        <is>
          <t>Developer new commodity residential sales area</t>
        </is>
      </c>
    </row>
    <row r="11">
      <c r="A11" t="n">
        <v>2025</v>
      </c>
      <c r="B11" t="inlineStr">
        <is>
          <t>new_residential_sales_area</t>
        </is>
      </c>
      <c r="C11" t="n">
        <v>1224.93</v>
      </c>
      <c r="D11" t="inlineStr">
        <is>
          <t>10000_m2</t>
        </is>
      </c>
      <c r="E11" t="inlineStr">
        <is>
          <t>https://tjj.sh.gov.cn/tjgb/20260330/e0772941e8e041eaaad2df850b44ef98.html</t>
        </is>
      </c>
      <c r="F11" t="inlineStr">
        <is>
          <t>Developer new commodity residential sales area</t>
        </is>
      </c>
    </row>
    <row r="12">
      <c r="A12" t="n">
        <v>2024</v>
      </c>
      <c r="B12" t="inlineStr">
        <is>
          <t>existing_property_transfer_area</t>
        </is>
      </c>
      <c r="C12" t="n">
        <v>2072.27</v>
      </c>
      <c r="D12" t="inlineStr">
        <is>
          <t>10000_m2</t>
        </is>
      </c>
      <c r="E12" t="inlineStr">
        <is>
          <t>https://tjj.sh.gov.cn/tjgb/20250324/a7fe18c6d5c24d66bfca89c5bb4cdcfb.html</t>
        </is>
      </c>
      <c r="F12" t="inlineStr">
        <is>
          <t>Existing property registered area includes non-residential</t>
        </is>
      </c>
    </row>
    <row r="13">
      <c r="A13" t="n">
        <v>2025</v>
      </c>
      <c r="B13" t="inlineStr">
        <is>
          <t>existing_property_transfer_area</t>
        </is>
      </c>
      <c r="C13" t="n">
        <v>2384.77</v>
      </c>
      <c r="D13" t="inlineStr">
        <is>
          <t>10000_m2</t>
        </is>
      </c>
      <c r="E13" t="inlineStr">
        <is>
          <t>https://tjj.sh.gov.cn/tjgb/20260330/e0772941e8e041eaaad2df850b44ef98.html</t>
        </is>
      </c>
      <c r="F13" t="inlineStr">
        <is>
          <t>Existing property registered area includes non-residential</t>
        </is>
      </c>
    </row>
  </sheetData>
  <autoFilter ref="A1: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8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9" customWidth="1" min="5" max="5"/>
    <col width="13" customWidth="1" min="6" max="6"/>
    <col width="17" customWidth="1" min="7" max="7"/>
    <col width="15" customWidth="1" min="8" max="8"/>
    <col width="13" customWidth="1" min="9" max="9"/>
    <col width="16" customWidth="1" min="10" max="10"/>
    <col width="18" customWidth="1" min="11" max="11"/>
    <col width="18" customWidth="1" min="12" max="12"/>
  </cols>
  <sheetData>
    <row r="1">
      <c r="A1" s="1" t="inlineStr">
        <is>
          <t>id</t>
        </is>
      </c>
      <c r="B1" s="1" t="inlineStr">
        <is>
          <t>title</t>
        </is>
      </c>
      <c r="C1" s="1" t="inlineStr">
        <is>
          <t>publisher</t>
        </is>
      </c>
      <c r="D1" s="1" t="inlineStr">
        <is>
          <t>url</t>
        </is>
      </c>
      <c r="E1" s="1" t="inlineStr">
        <is>
          <t>publication_date</t>
        </is>
      </c>
      <c r="F1" s="1" t="inlineStr">
        <is>
          <t>period</t>
        </is>
      </c>
      <c r="G1" s="1" t="inlineStr">
        <is>
          <t>retrieved_date</t>
        </is>
      </c>
      <c r="H1" s="1" t="inlineStr">
        <is>
          <t>version_note</t>
        </is>
      </c>
      <c r="I1" s="1" t="inlineStr">
        <is>
          <t>topic</t>
        </is>
      </c>
      <c r="J1" s="1" t="inlineStr">
        <is>
          <t>review_status</t>
        </is>
      </c>
      <c r="K1" s="1" t="inlineStr">
        <is>
          <t>snapshot_status</t>
        </is>
      </c>
      <c r="L1" s="1" t="inlineStr">
        <is>
          <t>original_sha256</t>
        </is>
      </c>
    </row>
    <row r="2">
      <c r="A2" t="inlineStr">
        <is>
          <t>ANNUAL-2015</t>
        </is>
      </c>
      <c r="B2" t="inlineStr">
        <is>
          <t>2015年年度报告</t>
        </is>
      </c>
      <c r="C2" t="inlineStr">
        <is>
          <t>上海市公积金管理中心</t>
        </is>
      </c>
      <c r="D2" t="inlineStr">
        <is>
          <t>https://www.shzfgjj.cn/html/newxxgk/ndbg/208089.html</t>
        </is>
      </c>
      <c r="E2" t="inlineStr">
        <is>
          <t>2016-03-31</t>
        </is>
      </c>
      <c r="F2" t="n">
        <v>2015</v>
      </c>
      <c r="G2" t="inlineStr">
        <is>
          <t>2026-10-27</t>
        </is>
      </c>
      <c r="H2" t="inlineStr">
        <is>
          <t>SHA-256 snapshot of publisher file</t>
        </is>
      </c>
      <c r="I2" t="inlineStr">
        <is>
          <t>annual report</t>
        </is>
      </c>
      <c r="J2" t="inlineStr">
        <is>
          <t>original HTML archived; published values still require cell audit</t>
        </is>
      </c>
      <c r="K2" t="inlineStr">
        <is>
          <t>sources/original/annual_2015.html</t>
        </is>
      </c>
      <c r="L2" t="inlineStr">
        <is>
          <t>82c6a5492d70847613bf58d305eafffbe32f1d2d3fa769734caa520cf88b59c4</t>
        </is>
      </c>
    </row>
    <row r="3">
      <c r="A3" t="inlineStr">
        <is>
          <t>ANNUAL-2016</t>
        </is>
      </c>
      <c r="B3" t="inlineStr">
        <is>
          <t>2016年年度报告</t>
        </is>
      </c>
      <c r="C3" t="inlineStr">
        <is>
          <t>上海市公积金管理中心</t>
        </is>
      </c>
      <c r="D3" t="inlineStr">
        <is>
          <t>https://www.shzfgjj.cn/html/newxxgk/ndbg/208088.html</t>
        </is>
      </c>
      <c r="E3" t="inlineStr">
        <is>
          <t>2017-03-31</t>
        </is>
      </c>
      <c r="F3" t="n">
        <v>2016</v>
      </c>
      <c r="G3" t="inlineStr">
        <is>
          <t>2026-10-27</t>
        </is>
      </c>
      <c r="H3" t="inlineStr">
        <is>
          <t>SHA-256 snapshot of publisher file</t>
        </is>
      </c>
      <c r="I3" t="inlineStr">
        <is>
          <t>annual report</t>
        </is>
      </c>
      <c r="J3" t="inlineStr">
        <is>
          <t>original HTML archived; published values still require cell audit</t>
        </is>
      </c>
      <c r="K3" t="inlineStr">
        <is>
          <t>sources/original/annual_2016.html</t>
        </is>
      </c>
      <c r="L3" t="inlineStr">
        <is>
          <t>3c379ad011f74bd4536d8877fc59385c78d11f72376ef2f1f2f96967bb5777bb</t>
        </is>
      </c>
    </row>
    <row r="4">
      <c r="A4" t="inlineStr">
        <is>
          <t>ANNUAL-2017</t>
        </is>
      </c>
      <c r="B4" t="inlineStr">
        <is>
          <t>2017年年度报告</t>
        </is>
      </c>
      <c r="C4" t="inlineStr">
        <is>
          <t>上海市公积金管理中心</t>
        </is>
      </c>
      <c r="D4" t="inlineStr">
        <is>
          <t>https://www.shzfgjj.cn/html/newxxgk/ndbg/208087.html</t>
        </is>
      </c>
      <c r="E4" t="inlineStr">
        <is>
          <t>2018-03-29</t>
        </is>
      </c>
      <c r="F4" t="n">
        <v>2017</v>
      </c>
      <c r="G4" t="inlineStr">
        <is>
          <t>2026-10-27</t>
        </is>
      </c>
      <c r="H4" t="inlineStr">
        <is>
          <t>SHA-256 snapshot of publisher file</t>
        </is>
      </c>
      <c r="I4" t="inlineStr">
        <is>
          <t>annual report</t>
        </is>
      </c>
      <c r="J4" t="inlineStr">
        <is>
          <t>original HTML archived; published values still require cell audit</t>
        </is>
      </c>
      <c r="K4" t="inlineStr">
        <is>
          <t>sources/original/annual_2017.html</t>
        </is>
      </c>
      <c r="L4" t="inlineStr">
        <is>
          <t>895ea5e501710eafed48cd6a4a5f5154bc4822f5fd584b3e5dc5f4765ef28f79</t>
        </is>
      </c>
    </row>
    <row r="5">
      <c r="A5" t="inlineStr">
        <is>
          <t>ANNUAL-2018</t>
        </is>
      </c>
      <c r="B5" t="inlineStr">
        <is>
          <t>2018年年度报告</t>
        </is>
      </c>
      <c r="C5" t="inlineStr">
        <is>
          <t>上海市公积金管理中心</t>
        </is>
      </c>
      <c r="D5" t="inlineStr">
        <is>
          <t>https://www.shzfgjj.cn/html/newxxgk/ndbg/208086.html</t>
        </is>
      </c>
      <c r="E5" t="inlineStr">
        <is>
          <t>2019-03-31</t>
        </is>
      </c>
      <c r="F5" t="n">
        <v>2018</v>
      </c>
      <c r="G5" t="inlineStr">
        <is>
          <t>2026-10-27</t>
        </is>
      </c>
      <c r="H5" t="inlineStr">
        <is>
          <t>SHA-256 snapshot of publisher file</t>
        </is>
      </c>
      <c r="I5" t="inlineStr">
        <is>
          <t>annual report</t>
        </is>
      </c>
      <c r="J5" t="inlineStr">
        <is>
          <t>original HTML archived; published values still require cell audit</t>
        </is>
      </c>
      <c r="K5" t="inlineStr">
        <is>
          <t>sources/original/annual_2018.html</t>
        </is>
      </c>
      <c r="L5" t="inlineStr">
        <is>
          <t>0fa1360735fb8106911962965357cc31867de43a7c762ad1ea5987cddb0a3bab</t>
        </is>
      </c>
    </row>
    <row r="6">
      <c r="A6" t="inlineStr">
        <is>
          <t>ANNUAL-2019</t>
        </is>
      </c>
      <c r="B6" t="inlineStr">
        <is>
          <t>2019年年度报告</t>
        </is>
      </c>
      <c r="C6" t="inlineStr">
        <is>
          <t>上海市公积金管理中心</t>
        </is>
      </c>
      <c r="D6" t="inlineStr">
        <is>
          <t>https://www.shzfgjj.cn/html/newxxgk/ndbg/208085.html</t>
        </is>
      </c>
      <c r="E6" t="inlineStr">
        <is>
          <t>2020-04-03</t>
        </is>
      </c>
      <c r="F6" t="n">
        <v>2019</v>
      </c>
      <c r="G6" t="inlineStr">
        <is>
          <t>2026-10-27</t>
        </is>
      </c>
      <c r="H6" t="inlineStr">
        <is>
          <t>SHA-256 snapshot of publisher file</t>
        </is>
      </c>
      <c r="I6" t="inlineStr">
        <is>
          <t>annual report</t>
        </is>
      </c>
      <c r="J6" t="inlineStr">
        <is>
          <t>original HTML archived; published values still require cell audit</t>
        </is>
      </c>
      <c r="K6" t="inlineStr">
        <is>
          <t>sources/original/annual_2019.html</t>
        </is>
      </c>
      <c r="L6" t="inlineStr">
        <is>
          <t>47c15720e17c95c4998dad22e476cbb6fb2b1cdc357b2058fc5836357cefee45</t>
        </is>
      </c>
    </row>
    <row r="7">
      <c r="A7" t="inlineStr">
        <is>
          <t>ANNUAL-2020</t>
        </is>
      </c>
      <c r="B7" t="inlineStr">
        <is>
          <t>2020年年度报告</t>
        </is>
      </c>
      <c r="C7" t="inlineStr">
        <is>
          <t>上海市公积金管理中心</t>
        </is>
      </c>
      <c r="D7" t="inlineStr">
        <is>
          <t>https://www.shzfgjj.cn/html/zyxw/209278.html</t>
        </is>
      </c>
      <c r="E7" t="inlineStr">
        <is>
          <t>2021-03-30</t>
        </is>
      </c>
      <c r="F7" t="n">
        <v>2020</v>
      </c>
      <c r="G7" t="inlineStr">
        <is>
          <t>2026-10-27</t>
        </is>
      </c>
      <c r="H7" t="inlineStr">
        <is>
          <t>SHA-256 snapshot of publisher file</t>
        </is>
      </c>
      <c r="I7" t="inlineStr">
        <is>
          <t>annual report</t>
        </is>
      </c>
      <c r="J7" t="inlineStr">
        <is>
          <t>original HTML archived; published values still require cell audit</t>
        </is>
      </c>
      <c r="K7" t="inlineStr">
        <is>
          <t>sources/original/annual_2020.html</t>
        </is>
      </c>
      <c r="L7" t="inlineStr">
        <is>
          <t>a740b2cdae3e9004e63c039c07845da0963f06702c34003a2d577f3984e4c830</t>
        </is>
      </c>
    </row>
    <row r="8">
      <c r="A8" t="inlineStr">
        <is>
          <t>ANNUAL-2021</t>
        </is>
      </c>
      <c r="B8" t="inlineStr">
        <is>
          <t>2021年年度报告</t>
        </is>
      </c>
      <c r="C8" t="inlineStr">
        <is>
          <t>上海市公积金管理中心</t>
        </is>
      </c>
      <c r="D8" t="inlineStr">
        <is>
          <t>https://www.shzfgjj.cn/html/newxxgk/ndbg/209227.html</t>
        </is>
      </c>
      <c r="E8" t="inlineStr">
        <is>
          <t>2022-03-30</t>
        </is>
      </c>
      <c r="F8" t="n">
        <v>2021</v>
      </c>
      <c r="G8" t="inlineStr">
        <is>
          <t>2026-10-27</t>
        </is>
      </c>
      <c r="H8" t="inlineStr">
        <is>
          <t>SHA-256 snapshot of publisher file</t>
        </is>
      </c>
      <c r="I8" t="inlineStr">
        <is>
          <t>annual report</t>
        </is>
      </c>
      <c r="J8" t="inlineStr">
        <is>
          <t>original HTML archived; published values still require cell audit</t>
        </is>
      </c>
      <c r="K8" t="inlineStr">
        <is>
          <t>sources/original/annual_2021.html</t>
        </is>
      </c>
      <c r="L8" t="inlineStr">
        <is>
          <t>cf17a059c11fd012fadf5329e09c05f90cedfdfcf3e2bdb6796ad3a20866d45f</t>
        </is>
      </c>
    </row>
    <row r="9">
      <c r="A9" t="inlineStr">
        <is>
          <t>ANNUAL-2022</t>
        </is>
      </c>
      <c r="B9" t="inlineStr">
        <is>
          <t>2022年年度报告</t>
        </is>
      </c>
      <c r="C9" t="inlineStr">
        <is>
          <t>上海市公积金管理中心</t>
        </is>
      </c>
      <c r="D9" t="inlineStr">
        <is>
          <t>https://www.shzfgjj.cn/html/newxxgk/ndbg/213689.html</t>
        </is>
      </c>
      <c r="E9" t="inlineStr">
        <is>
          <t>2023-03-30</t>
        </is>
      </c>
      <c r="F9" t="n">
        <v>2022</v>
      </c>
      <c r="G9" t="inlineStr">
        <is>
          <t>2026-10-27</t>
        </is>
      </c>
      <c r="H9" t="inlineStr">
        <is>
          <t>SHA-256 snapshot of publisher file</t>
        </is>
      </c>
      <c r="I9" t="inlineStr">
        <is>
          <t>annual report</t>
        </is>
      </c>
      <c r="J9" t="inlineStr">
        <is>
          <t>original HTML archived; published values still require cell audit</t>
        </is>
      </c>
      <c r="K9" t="inlineStr">
        <is>
          <t>sources/original/annual_2022.html</t>
        </is>
      </c>
      <c r="L9" t="inlineStr">
        <is>
          <t>2d0394078118e851288941d3b269767f50231a92798f73ff3a86462db5aa7a75</t>
        </is>
      </c>
    </row>
    <row r="10">
      <c r="A10" t="inlineStr">
        <is>
          <t>ANNUAL-2023</t>
        </is>
      </c>
      <c r="B10" t="inlineStr">
        <is>
          <t>2023年年度报告</t>
        </is>
      </c>
      <c r="C10" t="inlineStr">
        <is>
          <t>上海市公积金管理中心</t>
        </is>
      </c>
      <c r="D10" t="inlineStr">
        <is>
          <t>https://www.shzfgjj.cn/html/newxxgk/ndbg/220229.html</t>
        </is>
      </c>
      <c r="E10" t="inlineStr">
        <is>
          <t>2024-03-29</t>
        </is>
      </c>
      <c r="F10" t="n">
        <v>2023</v>
      </c>
      <c r="G10" t="inlineStr">
        <is>
          <t>2026-10-27</t>
        </is>
      </c>
      <c r="H10" t="inlineStr">
        <is>
          <t>SHA-256 snapshot of publisher file</t>
        </is>
      </c>
      <c r="I10" t="inlineStr">
        <is>
          <t>annual report</t>
        </is>
      </c>
      <c r="J10" t="inlineStr">
        <is>
          <t>original HTML archived; published values still require cell audit</t>
        </is>
      </c>
      <c r="K10" t="inlineStr">
        <is>
          <t>sources/original/annual_2023.html</t>
        </is>
      </c>
      <c r="L10" t="inlineStr">
        <is>
          <t>ca2d91beecb4ba69bf5a9eabd1d75772fc5d022166d7098f033f0aa3de1d5652</t>
        </is>
      </c>
    </row>
    <row r="11">
      <c r="A11" t="inlineStr">
        <is>
          <t>ANNUAL-2024</t>
        </is>
      </c>
      <c r="B11" t="inlineStr">
        <is>
          <t>2024年年度报告</t>
        </is>
      </c>
      <c r="C11" t="inlineStr">
        <is>
          <t>上海市公积金管理中心</t>
        </is>
      </c>
      <c r="D11" t="inlineStr">
        <is>
          <t>https://www.shzfgjj.cn/html/newxxgk/ndbg/227250.html</t>
        </is>
      </c>
      <c r="E11" t="inlineStr">
        <is>
          <t>2025-03-31</t>
        </is>
      </c>
      <c r="F11" t="n">
        <v>2024</v>
      </c>
      <c r="G11" t="inlineStr">
        <is>
          <t>2026-10-27</t>
        </is>
      </c>
      <c r="H11" t="inlineStr">
        <is>
          <t>SHA-256 snapshot of publisher file</t>
        </is>
      </c>
      <c r="I11" t="inlineStr">
        <is>
          <t>annual report</t>
        </is>
      </c>
      <c r="J11" t="inlineStr">
        <is>
          <t>original HTML archived; published values still require cell audit</t>
        </is>
      </c>
      <c r="K11" t="inlineStr">
        <is>
          <t>sources/original/annual_2024.html</t>
        </is>
      </c>
      <c r="L11" t="inlineStr">
        <is>
          <t>adbfe6f8840e74fc169909f95bbd64cad0a929061fb36bbb0c829cb28b2f57ae</t>
        </is>
      </c>
    </row>
    <row r="12">
      <c r="A12" t="inlineStr">
        <is>
          <t>ANNUAL-2025</t>
        </is>
      </c>
      <c r="B12" t="inlineStr">
        <is>
          <t>2025年年度报告</t>
        </is>
      </c>
      <c r="C12" t="inlineStr">
        <is>
          <t>上海市公积金管理中心</t>
        </is>
      </c>
      <c r="D12" t="inlineStr">
        <is>
          <t>https://www.shzfgjj.cn/html/newxxgk/ndbg/228312.html</t>
        </is>
      </c>
      <c r="E12" t="inlineStr">
        <is>
          <t>2026-03-31</t>
        </is>
      </c>
      <c r="F12" t="n">
        <v>2025</v>
      </c>
      <c r="G12" t="inlineStr">
        <is>
          <t>2026-10-27</t>
        </is>
      </c>
      <c r="H12" t="inlineStr">
        <is>
          <t>SHA-256 snapshot of publisher file</t>
        </is>
      </c>
      <c r="I12" t="inlineStr">
        <is>
          <t>annual report</t>
        </is>
      </c>
      <c r="J12" t="inlineStr">
        <is>
          <t>original HTML archived; published values still require cell audit</t>
        </is>
      </c>
      <c r="K12" t="inlineStr">
        <is>
          <t>sources/original/annual_2025.html</t>
        </is>
      </c>
      <c r="L12" t="inlineStr">
        <is>
          <t>93dd4ffd13420a639ea43c2ed51528ed4239d22d22052d629c39a93d2ae9be8b</t>
        </is>
      </c>
    </row>
    <row r="13">
      <c r="A13" t="inlineStr">
        <is>
          <t>POLICY-2025-CAP</t>
        </is>
      </c>
      <c r="B13" t="inlineStr">
        <is>
          <t>2025年度缴存基数通知</t>
        </is>
      </c>
      <c r="C13" t="inlineStr">
        <is>
          <t>相关官方机构</t>
        </is>
      </c>
      <c r="D13" t="inlineStr">
        <is>
          <t>https://www.shzfgjj.cn/html/newxxgk/zcwj/gfxwj/228051.html</t>
        </is>
      </c>
      <c r="E13" t="inlineStr">
        <is>
          <t>2025-09-18</t>
        </is>
      </c>
      <c r="F13" t="inlineStr">
        <is>
          <t>2025-07</t>
        </is>
      </c>
      <c r="G13" t="inlineStr">
        <is>
          <t>2026-10-27</t>
        </is>
      </c>
      <c r="H13" t="inlineStr">
        <is>
          <t>SHA-256 snapshot of publisher file</t>
        </is>
      </c>
      <c r="I13" t="inlineStr">
        <is>
          <t>policy</t>
        </is>
      </c>
      <c r="J13" t="inlineStr">
        <is>
          <t>index/source available</t>
        </is>
      </c>
      <c r="K13" t="inlineStr">
        <is>
          <t>sources/original/policy_2025_cap.html</t>
        </is>
      </c>
      <c r="L13" t="inlineStr">
        <is>
          <t>35161d76fb209af251a68582aadde5a8f74fd29f2dbe64007e0425cedcdd0d75</t>
        </is>
      </c>
    </row>
    <row r="14">
      <c r="A14" t="inlineStr">
        <is>
          <t>STAT-2025</t>
        </is>
      </c>
      <c r="B14" t="inlineStr">
        <is>
          <t>2025上海市统计公报</t>
        </is>
      </c>
      <c r="C14" t="inlineStr">
        <is>
          <t>相关官方机构</t>
        </is>
      </c>
      <c r="D14" t="inlineStr">
        <is>
          <t>https://tjj.sh.gov.cn/tjgb/20260330/e0772941e8e041eaaad2df850b44ef98.html</t>
        </is>
      </c>
      <c r="E14" t="inlineStr">
        <is>
          <t>2026-03-30</t>
        </is>
      </c>
      <c r="F14" t="n">
        <v>2025</v>
      </c>
      <c r="G14" t="inlineStr">
        <is>
          <t>2026-10-27</t>
        </is>
      </c>
      <c r="H14" t="inlineStr">
        <is>
          <t>SHA-256 snapshot of publisher file</t>
        </is>
      </c>
      <c r="I14" t="inlineStr">
        <is>
          <t>economic context</t>
        </is>
      </c>
      <c r="J14" t="inlineStr">
        <is>
          <t>index/source available</t>
        </is>
      </c>
      <c r="K14" t="inlineStr">
        <is>
          <t>sources/original/stat_2025.html</t>
        </is>
      </c>
      <c r="L14" t="inlineStr">
        <is>
          <t>53208d64119891cc374e6b70ede45f537667bc4152d71da1111609d75641348a</t>
        </is>
      </c>
    </row>
    <row r="15">
      <c r="A15" t="inlineStr">
        <is>
          <t>MUNICIPAL-STAT-2024</t>
        </is>
      </c>
      <c r="B15" t="inlineStr">
        <is>
          <t>2024上海统计公报</t>
        </is>
      </c>
      <c r="C15" t="inlineStr">
        <is>
          <t>上海市统计局</t>
        </is>
      </c>
      <c r="D15" t="inlineStr">
        <is>
          <t>https://tjj.sh.gov.cn/tjgb/20250324/a7fe18c6d5c24d66bfca89c5bb4cdcfb.html</t>
        </is>
      </c>
      <c r="E15" t="inlineStr">
        <is>
          <t>2025-03-25</t>
        </is>
      </c>
      <c r="F15" t="n">
        <v>2024</v>
      </c>
      <c r="G15" t="inlineStr">
        <is>
          <t>2026-10-27</t>
        </is>
      </c>
      <c r="H15" t="inlineStr">
        <is>
          <t>SHA-256 snapshot of publisher file</t>
        </is>
      </c>
      <c r="I15" t="inlineStr">
        <is>
          <t>real estate cross evidence</t>
        </is>
      </c>
      <c r="J15" t="inlineStr">
        <is>
          <t>external independent public cross-check</t>
        </is>
      </c>
      <c r="K15" t="inlineStr">
        <is>
          <t>sources/original/municipal_stat_2024.html</t>
        </is>
      </c>
      <c r="L15" t="inlineStr">
        <is>
          <t>80aa92406e9846c30b0eea12b4dcce615e51f5c1ca2d224a092d74dae35d06fd</t>
        </is>
      </c>
    </row>
    <row r="16">
      <c r="A16" t="inlineStr">
        <is>
          <t>MUNICIPAL-STAT-2025-REALESTATE</t>
        </is>
      </c>
      <c r="B16" t="inlineStr">
        <is>
          <t>2025上海统计公报住房房地产</t>
        </is>
      </c>
      <c r="C16" t="inlineStr">
        <is>
          <t>上海市统计局</t>
        </is>
      </c>
      <c r="D16" t="inlineStr">
        <is>
          <t>https://tjj.sh.gov.cn/tjgb/20260330/e0772941e8e041eaaad2df850b44ef98.html</t>
        </is>
      </c>
      <c r="E16" t="inlineStr">
        <is>
          <t>2026-03-30</t>
        </is>
      </c>
      <c r="F16" t="n">
        <v>2025</v>
      </c>
      <c r="G16" t="inlineStr">
        <is>
          <t>2026-10-27</t>
        </is>
      </c>
      <c r="H16" t="inlineStr">
        <is>
          <t>SHA-256 snapshot of publisher file</t>
        </is>
      </c>
      <c r="I16" t="inlineStr">
        <is>
          <t>property cross evidence</t>
        </is>
      </c>
      <c r="J16" t="inlineStr">
        <is>
          <t>external independent public cross-check</t>
        </is>
      </c>
      <c r="K16" t="inlineStr">
        <is>
          <t>sources/original/municipal_stat_2025_realestate.html</t>
        </is>
      </c>
      <c r="L16" t="inlineStr">
        <is>
          <t>53208d64119891cc374e6b70ede45f537667bc4152d71da1111609d75641348a</t>
        </is>
      </c>
    </row>
    <row r="17">
      <c r="A17" t="inlineStr">
        <is>
          <t>HPF-CENTER-BUDGET-2025</t>
        </is>
      </c>
      <c r="B17" t="inlineStr">
        <is>
          <t>上海市公积金管理中心2025年市级单位预算</t>
        </is>
      </c>
      <c r="C17" t="inlineStr">
        <is>
          <t>上海市住房和城乡建设管理委员会</t>
        </is>
      </c>
      <c r="D17" t="inlineStr">
        <is>
          <t>https://zjw.sh.gov.cn/cmsres/12/129c822a555f472dab56ca1a3a0034cf/4c78aa09135eb9058111207f5e65a1ff.pdf</t>
        </is>
      </c>
      <c r="E17" t="inlineStr">
        <is>
          <t>2025-02-19</t>
        </is>
      </c>
      <c r="F17" t="n">
        <v>2025</v>
      </c>
      <c r="G17" t="inlineStr">
        <is>
          <t>2026-10-27</t>
        </is>
      </c>
      <c r="H17" t="inlineStr">
        <is>
          <t>ZJW attachment released 2025-02-19; HPF site mirror listed 2025-04-17; SHA-256 snapshot</t>
        </is>
      </c>
      <c r="I17" t="inlineStr">
        <is>
          <t>unit fiscal budget</t>
        </is>
      </c>
      <c r="J17" t="inlineStr">
        <is>
          <t>external independent public cross-check</t>
        </is>
      </c>
      <c r="K17" t="inlineStr">
        <is>
          <t>sources/original/hpf_center_budget_2025.pdf</t>
        </is>
      </c>
      <c r="L17" t="inlineStr">
        <is>
          <t>b191113f20607037ebe0bac970b756119455937172cc782a1dff04dec650248d</t>
        </is>
      </c>
    </row>
    <row r="18">
      <c r="A18" t="inlineStr">
        <is>
          <t>HPF-LOAN-RULES-2023</t>
        </is>
      </c>
      <c r="B18" t="inlineStr">
        <is>
          <t>上海市住房公积金个人住房贷款管理办法</t>
        </is>
      </c>
      <c r="C18" t="inlineStr">
        <is>
          <t>上海市住房公积金管理委员会</t>
        </is>
      </c>
      <c r="D18" t="inlineStr">
        <is>
          <t>https://service.shanghai.gov.cn/xingzhengwendangkujyh/XZGFDetails.aspx?docid=230412111425Nl1f9zoHKKGc4XmLxSw</t>
        </is>
      </c>
      <c r="E18" t="inlineStr">
        <is>
          <t>2023-03-31</t>
        </is>
      </c>
      <c r="F18" t="inlineStr">
        <is>
          <t>2023-04-01</t>
        </is>
      </c>
      <c r="G18" t="inlineStr">
        <is>
          <t>2026-10-27</t>
        </is>
      </c>
      <c r="H18" t="inlineStr">
        <is>
          <t>SHA-256 snapshot of publisher file</t>
        </is>
      </c>
      <c r="I18" t="inlineStr">
        <is>
          <t>loan eligibility and policy</t>
        </is>
      </c>
      <c r="J18" t="inlineStr">
        <is>
          <t>external independent public cross-check</t>
        </is>
      </c>
      <c r="K18" t="inlineStr">
        <is>
          <t>sources/original/hpf_loan_rules_2023.html</t>
        </is>
      </c>
      <c r="L18" t="inlineStr">
        <is>
          <t>5c7d669f51a2f3fbcf13ee25339d1900370d775befb2de66a1912e2b5cd948e9</t>
        </is>
      </c>
    </row>
    <row r="19">
      <c r="A19" t="inlineStr">
        <is>
          <t>AUDIT-2025</t>
        </is>
      </c>
      <c r="B19" t="inlineStr">
        <is>
          <t>上海市2025年度市级预算执行审计工作报告</t>
        </is>
      </c>
      <c r="C19" t="inlineStr">
        <is>
          <t>上海市审计局</t>
        </is>
      </c>
      <c r="D19" t="inlineStr">
        <is>
          <t>https://www.shanghai.gov.cn/nw23083/20260921/157016d26f2a4595ac33c5ce48064af2.html</t>
        </is>
      </c>
      <c r="E19" t="inlineStr">
        <is>
          <t>2026-09-20</t>
        </is>
      </c>
      <c r="F19" t="n">
        <v>2025</v>
      </c>
      <c r="G19" t="inlineStr">
        <is>
          <t>2026-10-27</t>
        </is>
      </c>
      <c r="H19" t="inlineStr">
        <is>
          <t>SHA-256 snapshot of publisher file</t>
        </is>
      </c>
      <c r="I19" t="inlineStr">
        <is>
          <t>fiscal audit context</t>
        </is>
      </c>
      <c r="J19" t="inlineStr">
        <is>
          <t>external independent public cross-check</t>
        </is>
      </c>
      <c r="K19" t="inlineStr">
        <is>
          <t>sources/original/audit_2025.html</t>
        </is>
      </c>
      <c r="L19" t="inlineStr">
        <is>
          <t>ea61215e25ad68fe7875f488a566582856559c68b8ae3ebc6259c3936395f2d1</t>
        </is>
      </c>
    </row>
    <row r="20">
      <c r="A20" t="inlineStr">
        <is>
          <t>POLICY-2024-RENT</t>
        </is>
      </c>
      <c r="B20" t="inlineStr">
        <is>
          <t>2024租房提取优化通知</t>
        </is>
      </c>
      <c r="C20" t="inlineStr">
        <is>
          <t>上海市住房公积金管理委员会</t>
        </is>
      </c>
      <c r="D20" t="inlineStr">
        <is>
          <t>https://www.shzfgjj.cn/html/newxxgk/zcwj/gfxwj/224701.html</t>
        </is>
      </c>
      <c r="E20" t="inlineStr">
        <is>
          <t>2024-09-30</t>
        </is>
      </c>
      <c r="F20" t="inlineStr">
        <is>
          <t>2024-11-01</t>
        </is>
      </c>
      <c r="G20" t="inlineStr">
        <is>
          <t>2026-10-27</t>
        </is>
      </c>
      <c r="H20" t="inlineStr">
        <is>
          <t>SHA-256 snapshot of publisher file</t>
        </is>
      </c>
      <c r="I20" t="inlineStr">
        <is>
          <t>policy</t>
        </is>
      </c>
      <c r="J20" t="inlineStr">
        <is>
          <t>original archived; analytical transcription separate</t>
        </is>
      </c>
      <c r="K20" t="inlineStr">
        <is>
          <t>sources/original/policy_2024_rent.html</t>
        </is>
      </c>
      <c r="L20" t="inlineStr">
        <is>
          <t>71e9b67a3a0f92608be925cfd17414810681258e7afa1e28cb4aa78f3ae35fea</t>
        </is>
      </c>
    </row>
    <row r="21">
      <c r="A21" t="inlineStr">
        <is>
          <t>POLICY-2025-RATE</t>
        </is>
      </c>
      <c r="B21" t="inlineStr">
        <is>
          <t>2025贷款利率调整</t>
        </is>
      </c>
      <c r="C21" t="inlineStr">
        <is>
          <t>上海市住房公积金管理委员会</t>
        </is>
      </c>
      <c r="D21" t="inlineStr">
        <is>
          <t>https://www.shzfgjj.cn/html/newxxgk/zcwj/gjjgwh/albpl/dk/227927.html</t>
        </is>
      </c>
      <c r="E21" t="inlineStr">
        <is>
          <t>2025-05-07</t>
        </is>
      </c>
      <c r="F21" t="inlineStr">
        <is>
          <t>2025-05-08</t>
        </is>
      </c>
      <c r="G21" t="inlineStr">
        <is>
          <t>2026-10-27</t>
        </is>
      </c>
      <c r="H21" t="inlineStr">
        <is>
          <t>SHA-256 snapshot of publisher file</t>
        </is>
      </c>
      <c r="I21" t="inlineStr">
        <is>
          <t>policy</t>
        </is>
      </c>
      <c r="J21" t="inlineStr">
        <is>
          <t>original archived; analytical transcription separate</t>
        </is>
      </c>
      <c r="K21" t="inlineStr">
        <is>
          <t>sources/original/policy_2025_rate.html</t>
        </is>
      </c>
      <c r="L21" t="inlineStr">
        <is>
          <t>681ccc5b54ba8874a219bf16f0c149fa5227cac5106403d4227342a680c0f536</t>
        </is>
      </c>
    </row>
    <row r="22">
      <c r="A22" t="inlineStr">
        <is>
          <t>POLICY-2025-FLEX</t>
        </is>
      </c>
      <c r="B22" t="inlineStr">
        <is>
          <t>灵活就业人员缴存办法</t>
        </is>
      </c>
      <c r="C22" t="inlineStr">
        <is>
          <t>上海市住房公积金管理委员会</t>
        </is>
      </c>
      <c r="D22" t="inlineStr">
        <is>
          <t>https://www.shzfgjj.cn/html/newxxgk/zcwj/gfxwj/227794.html</t>
        </is>
      </c>
      <c r="E22" t="inlineStr">
        <is>
          <t>2025-04-28</t>
        </is>
      </c>
      <c r="F22" t="inlineStr">
        <is>
          <t>2025-06-01</t>
        </is>
      </c>
      <c r="G22" t="inlineStr">
        <is>
          <t>2026-10-27</t>
        </is>
      </c>
      <c r="H22" t="inlineStr">
        <is>
          <t>SHA-256 snapshot of publisher file</t>
        </is>
      </c>
      <c r="I22" t="inlineStr">
        <is>
          <t>policy</t>
        </is>
      </c>
      <c r="J22" t="inlineStr">
        <is>
          <t>original archived; analytical transcription separate</t>
        </is>
      </c>
      <c r="K22" t="inlineStr">
        <is>
          <t>sources/original/policy_2025_flex.html</t>
        </is>
      </c>
      <c r="L22" t="inlineStr">
        <is>
          <t>8d59511df6c0ad9243d60f3f15cc1ed6fd128dd77b37246bafa71ee281ceb54c</t>
        </is>
      </c>
    </row>
    <row r="23">
      <c r="A23" t="inlineStr">
        <is>
          <t>POLICY-2025-GREEN</t>
        </is>
      </c>
      <c r="B23" t="inlineStr">
        <is>
          <t>绿色建筑贷款额度政策</t>
        </is>
      </c>
      <c r="C23" t="inlineStr">
        <is>
          <t>上海市住房公积金管理委员会</t>
        </is>
      </c>
      <c r="D23" t="inlineStr">
        <is>
          <t>https://www.shzfgjj.cn/html/newxxgk/zcwj/gfxwj/228079.html</t>
        </is>
      </c>
      <c r="E23" t="inlineStr">
        <is>
          <t>2025-08-25</t>
        </is>
      </c>
      <c r="F23" t="inlineStr">
        <is>
          <t>2025-08-26</t>
        </is>
      </c>
      <c r="G23" t="inlineStr">
        <is>
          <t>2026-10-27</t>
        </is>
      </c>
      <c r="H23" t="inlineStr">
        <is>
          <t>SHA-256 snapshot of publisher file</t>
        </is>
      </c>
      <c r="I23" t="inlineStr">
        <is>
          <t>policy</t>
        </is>
      </c>
      <c r="J23" t="inlineStr">
        <is>
          <t>original archived; analytical transcription separate</t>
        </is>
      </c>
      <c r="K23" t="inlineStr">
        <is>
          <t>sources/original/policy_2025_green.html</t>
        </is>
      </c>
      <c r="L23" t="inlineStr">
        <is>
          <t>64abfdc4f6633c38b80d238c4e2ff0db26020713fd94a129414bdaf2c0d9cde4</t>
        </is>
      </c>
    </row>
    <row r="24">
      <c r="A24" t="inlineStr">
        <is>
          <t>CENTER-FINAL-2024</t>
        </is>
      </c>
      <c r="B24" t="inlineStr">
        <is>
          <t>上海市公积金管理中心2024年度决算</t>
        </is>
      </c>
      <c r="C24" t="inlineStr">
        <is>
          <t>上海市公积金管理中心</t>
        </is>
      </c>
      <c r="D24" t="inlineStr">
        <is>
          <t>https://www.shzfgjj.cn/html/newxxgk/czgk/img/20250909090058120.pdf</t>
        </is>
      </c>
      <c r="E24" t="inlineStr">
        <is>
          <t>2025-09-09</t>
        </is>
      </c>
      <c r="F24" t="n">
        <v>2024</v>
      </c>
      <c r="G24" t="inlineStr">
        <is>
          <t>2026-10-27</t>
        </is>
      </c>
      <c r="H24" t="inlineStr">
        <is>
          <t>SHA-256 snapshot of publisher file</t>
        </is>
      </c>
      <c r="I24" t="inlineStr">
        <is>
          <t>fiscal actual</t>
        </is>
      </c>
      <c r="J24" t="inlineStr">
        <is>
          <t>original archived; analytical transcription separate</t>
        </is>
      </c>
      <c r="K24" t="inlineStr">
        <is>
          <t>sources/original/center_final_2024.pdf</t>
        </is>
      </c>
      <c r="L24" t="inlineStr">
        <is>
          <t>42747f968b39080a014bcf12384b8a9b5ad832db80aaf40e1e10119c7fb57624</t>
        </is>
      </c>
    </row>
    <row r="25">
      <c r="A25" t="inlineStr">
        <is>
          <t>INFO-OPEN-2025</t>
        </is>
      </c>
      <c r="B25" t="inlineStr">
        <is>
          <t>2025年政府信息公开工作年度报告</t>
        </is>
      </c>
      <c r="C25" t="inlineStr">
        <is>
          <t>上海市公积金管理中心</t>
        </is>
      </c>
      <c r="D25" t="inlineStr">
        <is>
          <t>https://www.shzfgjj.cn/html/newxxgk/xxgknb/228270.html</t>
        </is>
      </c>
      <c r="E25" t="inlineStr">
        <is>
          <t>2026-01-30</t>
        </is>
      </c>
      <c r="F25" t="n">
        <v>2025</v>
      </c>
      <c r="G25" t="inlineStr">
        <is>
          <t>2026-10-27</t>
        </is>
      </c>
      <c r="H25" t="inlineStr">
        <is>
          <t>SHA-256 snapshot of publisher file</t>
        </is>
      </c>
      <c r="I25" t="inlineStr">
        <is>
          <t>information disclosure</t>
        </is>
      </c>
      <c r="J25" t="inlineStr">
        <is>
          <t>original archived; analytical transcription separate</t>
        </is>
      </c>
      <c r="K25" t="inlineStr">
        <is>
          <t>sources/original/info_open_2025.html</t>
        </is>
      </c>
      <c r="L25" t="inlineStr">
        <is>
          <t>e695ad5f7d4495622b3163e2c8b29458ac87b37bba59eb7efe25ad134a261121</t>
        </is>
      </c>
    </row>
    <row r="26">
      <c r="A26" t="inlineStr">
        <is>
          <t>NATIONAL-2026-DECISION</t>
        </is>
      </c>
      <c r="B26" t="inlineStr">
        <is>
          <t>国务院令第844号修改住房公积金管理条例</t>
        </is>
      </c>
      <c r="C26" t="inlineStr">
        <is>
          <t>中华人民共和国国务院</t>
        </is>
      </c>
      <c r="D26" t="inlineStr">
        <is>
          <t>https://www.mee.gov.cn/zcwj/gwywj/202608/t20260820_1164286.shtml</t>
        </is>
      </c>
      <c r="E26" t="inlineStr">
        <is>
          <t>2026-08-20</t>
        </is>
      </c>
      <c r="F26" t="inlineStr">
        <is>
          <t>2026-09-20</t>
        </is>
      </c>
      <c r="G26" t="inlineStr">
        <is>
          <t>2026-10-27</t>
        </is>
      </c>
      <c r="H26" t="inlineStr">
        <is>
          <t>SHA-256 snapshot of publisher file</t>
        </is>
      </c>
      <c r="I26" t="inlineStr">
        <is>
          <t>post-period law</t>
        </is>
      </c>
      <c r="J26" t="inlineStr">
        <is>
          <t>original archived; analytical transcription separate</t>
        </is>
      </c>
      <c r="K26" t="inlineStr">
        <is>
          <t>sources/original/national_2026_decision.html</t>
        </is>
      </c>
      <c r="L26" t="inlineStr">
        <is>
          <t>3a64b2df55dfa18d378bd3bf86b8a44637fb62c68eeddea5776ada075052ec93</t>
        </is>
      </c>
    </row>
    <row r="27">
      <c r="A27" t="inlineStr">
        <is>
          <t>MONTH-2022-01</t>
        </is>
      </c>
      <c r="B27" t="inlineStr">
        <is>
          <t>2022年1月16区住房公积金信息</t>
        </is>
      </c>
      <c r="C27" t="inlineStr">
        <is>
          <t>上海市公积金管理中心</t>
        </is>
      </c>
      <c r="D27" t="inlineStr">
        <is>
          <t>https://www.shzfgjj.cn/html/newxxgk/ywsjtj/208992.html</t>
        </is>
      </c>
      <c r="E27" t="inlineStr">
        <is>
          <t>2022-03-25</t>
        </is>
      </c>
      <c r="F27" t="inlineStr">
        <is>
          <t>2022-01</t>
        </is>
      </c>
      <c r="G27" t="inlineStr">
        <is>
          <t>2026-10-27</t>
        </is>
      </c>
      <c r="H27" t="inlineStr">
        <is>
          <t>SHA-256 snapshot of publisher file</t>
        </is>
      </c>
      <c r="I27" t="inlineStr">
        <is>
          <t>16-district YTD collection and withdrawal; month-end units and contributors</t>
        </is>
      </c>
      <c r="J27" t="inlineStr">
        <is>
          <t>16 rows, date and numeric values validated</t>
        </is>
      </c>
      <c r="K27" t="inlineStr">
        <is>
          <t>sources/original/monthly_2022/01_208992.html</t>
        </is>
      </c>
      <c r="L27" t="inlineStr">
        <is>
          <t>d6940a63e42e903041bf1de2b79f2d7e19715b0fdfc68e29dd6510ec6aefce81</t>
        </is>
      </c>
    </row>
    <row r="28">
      <c r="A28" t="inlineStr">
        <is>
          <t>MONTH-2022-02</t>
        </is>
      </c>
      <c r="B28" t="inlineStr">
        <is>
          <t>2022年2月16区住房公积金信息</t>
        </is>
      </c>
      <c r="C28" t="inlineStr">
        <is>
          <t>上海市公积金管理中心</t>
        </is>
      </c>
      <c r="D28" t="inlineStr">
        <is>
          <t>https://www.shzfgjj.cn/html/newxxgk/ywsjtj/208996.html</t>
        </is>
      </c>
      <c r="E28" t="inlineStr">
        <is>
          <t>2022-03-25</t>
        </is>
      </c>
      <c r="F28" t="inlineStr">
        <is>
          <t>2022-02</t>
        </is>
      </c>
      <c r="G28" t="inlineStr">
        <is>
          <t>2026-10-27</t>
        </is>
      </c>
      <c r="H28" t="inlineStr">
        <is>
          <t>SHA-256 snapshot of publisher file</t>
        </is>
      </c>
      <c r="I28" t="inlineStr">
        <is>
          <t>16-district YTD collection and withdrawal; month-end units and contributors</t>
        </is>
      </c>
      <c r="J28" t="inlineStr">
        <is>
          <t>16 rows, date and numeric values validated</t>
        </is>
      </c>
      <c r="K28" t="inlineStr">
        <is>
          <t>sources/original/monthly_2022/02_208996.html</t>
        </is>
      </c>
      <c r="L28" t="inlineStr">
        <is>
          <t>f5e8420d72b747fe1d3ae5a18f2bb5f6c8e878f21599b23f76ea63cb1ccede52</t>
        </is>
      </c>
    </row>
    <row r="29">
      <c r="A29" t="inlineStr">
        <is>
          <t>MONTH-2022-03</t>
        </is>
      </c>
      <c r="B29" t="inlineStr">
        <is>
          <t>2022年3月16区住房公积金信息</t>
        </is>
      </c>
      <c r="C29" t="inlineStr">
        <is>
          <t>上海市公积金管理中心</t>
        </is>
      </c>
      <c r="D29" t="inlineStr">
        <is>
          <t>https://www.shzfgjj.cn/html/newxxgk/ywsjtj/209348.html</t>
        </is>
      </c>
      <c r="E29" t="inlineStr">
        <is>
          <t>2022-06-01</t>
        </is>
      </c>
      <c r="F29" t="inlineStr">
        <is>
          <t>2022-03</t>
        </is>
      </c>
      <c r="G29" t="inlineStr">
        <is>
          <t>2026-10-27</t>
        </is>
      </c>
      <c r="H29" t="inlineStr">
        <is>
          <t>SHA-256 snapshot of publisher file</t>
        </is>
      </c>
      <c r="I29" t="inlineStr">
        <is>
          <t>16-district YTD collection and withdrawal; month-end units and contributors</t>
        </is>
      </c>
      <c r="J29" t="inlineStr">
        <is>
          <t>16 rows, date and numeric values validated</t>
        </is>
      </c>
      <c r="K29" t="inlineStr">
        <is>
          <t>sources/original/monthly_2022/03_209348.html</t>
        </is>
      </c>
      <c r="L29" t="inlineStr">
        <is>
          <t>79f2f9c4ce9f7d1d30538f094aa840a3a63899ed94cc5d4a0aa6170a85f6e090</t>
        </is>
      </c>
    </row>
    <row r="30">
      <c r="A30" t="inlineStr">
        <is>
          <t>MONTH-2022-04</t>
        </is>
      </c>
      <c r="B30" t="inlineStr">
        <is>
          <t>2022年4月16区住房公积金信息</t>
        </is>
      </c>
      <c r="C30" t="inlineStr">
        <is>
          <t>上海市公积金管理中心</t>
        </is>
      </c>
      <c r="D30" t="inlineStr">
        <is>
          <t>https://www.shzfgjj.cn/html/newxxgk/ywsjtj/209350.html</t>
        </is>
      </c>
      <c r="E30" t="inlineStr">
        <is>
          <t>2022-06-02</t>
        </is>
      </c>
      <c r="F30" t="inlineStr">
        <is>
          <t>2022-04</t>
        </is>
      </c>
      <c r="G30" t="inlineStr">
        <is>
          <t>2026-10-27</t>
        </is>
      </c>
      <c r="H30" t="inlineStr">
        <is>
          <t>SHA-256 snapshot of publisher file</t>
        </is>
      </c>
      <c r="I30" t="inlineStr">
        <is>
          <t>16-district YTD collection and withdrawal; month-end units and contributors</t>
        </is>
      </c>
      <c r="J30" t="inlineStr">
        <is>
          <t>16 rows, date and numeric values validated</t>
        </is>
      </c>
      <c r="K30" t="inlineStr">
        <is>
          <t>sources/original/monthly_2022/04_209350.html</t>
        </is>
      </c>
      <c r="L30" t="inlineStr">
        <is>
          <t>12bf02ea655ce4160e971f55afe2d7b1d7238c9f4b1ecc1913432c0eaba240ff</t>
        </is>
      </c>
    </row>
    <row r="31">
      <c r="A31" t="inlineStr">
        <is>
          <t>MONTH-2022-05</t>
        </is>
      </c>
      <c r="B31" t="inlineStr">
        <is>
          <t>2022年5月16区住房公积金信息</t>
        </is>
      </c>
      <c r="C31" t="inlineStr">
        <is>
          <t>上海市公积金管理中心</t>
        </is>
      </c>
      <c r="D31" t="inlineStr">
        <is>
          <t>https://www.shzfgjj.cn/html/newxxgk/ywsjtj/209550.html</t>
        </is>
      </c>
      <c r="E31" t="inlineStr">
        <is>
          <t>2022-06-15</t>
        </is>
      </c>
      <c r="F31" t="inlineStr">
        <is>
          <t>2022-05</t>
        </is>
      </c>
      <c r="G31" t="inlineStr">
        <is>
          <t>2026-10-27</t>
        </is>
      </c>
      <c r="H31" t="inlineStr">
        <is>
          <t>SHA-256 snapshot of publisher file</t>
        </is>
      </c>
      <c r="I31" t="inlineStr">
        <is>
          <t>16-district YTD collection and withdrawal; month-end units and contributors</t>
        </is>
      </c>
      <c r="J31" t="inlineStr">
        <is>
          <t>16 rows, date and numeric values validated</t>
        </is>
      </c>
      <c r="K31" t="inlineStr">
        <is>
          <t>sources/original/monthly_2022/05_209550.html</t>
        </is>
      </c>
      <c r="L31" t="inlineStr">
        <is>
          <t>00655a3cb05e6c2f04df3c18ef1b0af70682fb3378fbedbadb3eaf5f197da1f6</t>
        </is>
      </c>
    </row>
    <row r="32">
      <c r="A32" t="inlineStr">
        <is>
          <t>MONTH-2022-06</t>
        </is>
      </c>
      <c r="B32" t="inlineStr">
        <is>
          <t>2022年6月16区住房公积金信息</t>
        </is>
      </c>
      <c r="C32" t="inlineStr">
        <is>
          <t>上海市公积金管理中心</t>
        </is>
      </c>
      <c r="D32" t="inlineStr">
        <is>
          <t>https://www.shzfgjj.cn/html/newxxgk/ywsjtj/210080.html</t>
        </is>
      </c>
      <c r="E32" t="inlineStr">
        <is>
          <t>2022-07-18</t>
        </is>
      </c>
      <c r="F32" t="inlineStr">
        <is>
          <t>2022-06</t>
        </is>
      </c>
      <c r="G32" t="inlineStr">
        <is>
          <t>2026-10-27</t>
        </is>
      </c>
      <c r="H32" t="inlineStr">
        <is>
          <t>SHA-256 snapshot of publisher file</t>
        </is>
      </c>
      <c r="I32" t="inlineStr">
        <is>
          <t>16-district YTD collection and withdrawal; month-end units and contributors</t>
        </is>
      </c>
      <c r="J32" t="inlineStr">
        <is>
          <t>16 rows, date and numeric values validated</t>
        </is>
      </c>
      <c r="K32" t="inlineStr">
        <is>
          <t>sources/original/monthly_2022/06_210080.html</t>
        </is>
      </c>
      <c r="L32" t="inlineStr">
        <is>
          <t>bfe1be2252f2aa7efab970d69be6a785076a4348fdcec947280ed40ab08bf332</t>
        </is>
      </c>
    </row>
    <row r="33">
      <c r="A33" t="inlineStr">
        <is>
          <t>MONTH-2022-07</t>
        </is>
      </c>
      <c r="B33" t="inlineStr">
        <is>
          <t>2022年7月16区住房公积金信息</t>
        </is>
      </c>
      <c r="C33" t="inlineStr">
        <is>
          <t>上海市公积金管理中心</t>
        </is>
      </c>
      <c r="D33" t="inlineStr">
        <is>
          <t>https://www.shzfgjj.cn/html/newxxgk/ywsjtj/210399.html</t>
        </is>
      </c>
      <c r="E33" t="inlineStr">
        <is>
          <t>2022-08-16</t>
        </is>
      </c>
      <c r="F33" t="inlineStr">
        <is>
          <t>2022-07</t>
        </is>
      </c>
      <c r="G33" t="inlineStr">
        <is>
          <t>2026-10-27</t>
        </is>
      </c>
      <c r="H33" t="inlineStr">
        <is>
          <t>SHA-256 snapshot of publisher file</t>
        </is>
      </c>
      <c r="I33" t="inlineStr">
        <is>
          <t>16-district YTD collection and withdrawal; month-end units and contributors</t>
        </is>
      </c>
      <c r="J33" t="inlineStr">
        <is>
          <t>16 rows, date and numeric values validated</t>
        </is>
      </c>
      <c r="K33" t="inlineStr">
        <is>
          <t>sources/original/monthly_2022/07_210399.html</t>
        </is>
      </c>
      <c r="L33" t="inlineStr">
        <is>
          <t>6e391032ab7e16c02e0d8a76418735c5ff60f1aa1abe1a3c60295a2a92913933</t>
        </is>
      </c>
    </row>
    <row r="34">
      <c r="A34" t="inlineStr">
        <is>
          <t>MONTH-2022-08</t>
        </is>
      </c>
      <c r="B34" t="inlineStr">
        <is>
          <t>2022年8月16区住房公积金信息</t>
        </is>
      </c>
      <c r="C34" t="inlineStr">
        <is>
          <t>上海市公积金管理中心</t>
        </is>
      </c>
      <c r="D34" t="inlineStr">
        <is>
          <t>https://www.shzfgjj.cn/html/newxxgk/ywsjtj/210807.html</t>
        </is>
      </c>
      <c r="E34" t="inlineStr">
        <is>
          <t>2022-09-16</t>
        </is>
      </c>
      <c r="F34" t="inlineStr">
        <is>
          <t>2022-08</t>
        </is>
      </c>
      <c r="G34" t="inlineStr">
        <is>
          <t>2026-10-27</t>
        </is>
      </c>
      <c r="H34" t="inlineStr">
        <is>
          <t>SHA-256 snapshot of publisher file</t>
        </is>
      </c>
      <c r="I34" t="inlineStr">
        <is>
          <t>16-district YTD collection and withdrawal; month-end units and contributors</t>
        </is>
      </c>
      <c r="J34" t="inlineStr">
        <is>
          <t>16 rows, date and numeric values validated</t>
        </is>
      </c>
      <c r="K34" t="inlineStr">
        <is>
          <t>sources/original/monthly_2022/08_210807.html</t>
        </is>
      </c>
      <c r="L34" t="inlineStr">
        <is>
          <t>4c918af2b0c6e96715ed9494cb3f364667f8cf9d3431f400987c50215800c424</t>
        </is>
      </c>
    </row>
    <row r="35">
      <c r="A35" t="inlineStr">
        <is>
          <t>MONTH-2022-09</t>
        </is>
      </c>
      <c r="B35" t="inlineStr">
        <is>
          <t>2022年9月16区住房公积金信息</t>
        </is>
      </c>
      <c r="C35" t="inlineStr">
        <is>
          <t>上海市公积金管理中心</t>
        </is>
      </c>
      <c r="D35" t="inlineStr">
        <is>
          <t>https://www.shzfgjj.cn/html/newxxgk/ywsjtj/211119.html</t>
        </is>
      </c>
      <c r="E35" t="inlineStr">
        <is>
          <t>2022-10-17</t>
        </is>
      </c>
      <c r="F35" t="inlineStr">
        <is>
          <t>2022-09</t>
        </is>
      </c>
      <c r="G35" t="inlineStr">
        <is>
          <t>2026-10-27</t>
        </is>
      </c>
      <c r="H35" t="inlineStr">
        <is>
          <t>SHA-256 snapshot of publisher file</t>
        </is>
      </c>
      <c r="I35" t="inlineStr">
        <is>
          <t>16-district YTD collection and withdrawal; month-end units and contributors</t>
        </is>
      </c>
      <c r="J35" t="inlineStr">
        <is>
          <t>16 rows, date and numeric values validated</t>
        </is>
      </c>
      <c r="K35" t="inlineStr">
        <is>
          <t>sources/original/monthly_2022/09_211119.html</t>
        </is>
      </c>
      <c r="L35" t="inlineStr">
        <is>
          <t>75e871c4dff591c190f19293761770266c985561b5c0df6021ca3f4477115146</t>
        </is>
      </c>
    </row>
    <row r="36">
      <c r="A36" t="inlineStr">
        <is>
          <t>MONTH-2022-10</t>
        </is>
      </c>
      <c r="B36" t="inlineStr">
        <is>
          <t>2022年10月16区住房公积金信息</t>
        </is>
      </c>
      <c r="C36" t="inlineStr">
        <is>
          <t>上海市公积金管理中心</t>
        </is>
      </c>
      <c r="D36" t="inlineStr">
        <is>
          <t>https://www.shzfgjj.cn/html/newxxgk/ywsjtj/211592.html</t>
        </is>
      </c>
      <c r="E36" t="inlineStr">
        <is>
          <t>2022-11-15</t>
        </is>
      </c>
      <c r="F36" t="inlineStr">
        <is>
          <t>2022-10</t>
        </is>
      </c>
      <c r="G36" t="inlineStr">
        <is>
          <t>2026-10-27</t>
        </is>
      </c>
      <c r="H36" t="inlineStr">
        <is>
          <t>SHA-256 snapshot of publisher file</t>
        </is>
      </c>
      <c r="I36" t="inlineStr">
        <is>
          <t>16-district YTD collection and withdrawal; month-end units and contributors</t>
        </is>
      </c>
      <c r="J36" t="inlineStr">
        <is>
          <t>16 rows, date and numeric values validated</t>
        </is>
      </c>
      <c r="K36" t="inlineStr">
        <is>
          <t>sources/original/monthly_2022/10_211592.html</t>
        </is>
      </c>
      <c r="L36" t="inlineStr">
        <is>
          <t>bbaffe606e5f071be6f2929b81559f26526a5f66a8a8dc44958ec56738564eb6</t>
        </is>
      </c>
    </row>
    <row r="37">
      <c r="A37" t="inlineStr">
        <is>
          <t>MONTH-2022-11</t>
        </is>
      </c>
      <c r="B37" t="inlineStr">
        <is>
          <t>2022年11月16区住房公积金信息</t>
        </is>
      </c>
      <c r="C37" t="inlineStr">
        <is>
          <t>上海市公积金管理中心</t>
        </is>
      </c>
      <c r="D37" t="inlineStr">
        <is>
          <t>https://www.shzfgjj.cn/html/newxxgk/ywsjtj/212228.html</t>
        </is>
      </c>
      <c r="E37" t="inlineStr">
        <is>
          <t>2022-12-16</t>
        </is>
      </c>
      <c r="F37" t="inlineStr">
        <is>
          <t>2022-11</t>
        </is>
      </c>
      <c r="G37" t="inlineStr">
        <is>
          <t>2026-10-27</t>
        </is>
      </c>
      <c r="H37" t="inlineStr">
        <is>
          <t>SHA-256 snapshot of publisher file</t>
        </is>
      </c>
      <c r="I37" t="inlineStr">
        <is>
          <t>16-district YTD collection and withdrawal; month-end units and contributors</t>
        </is>
      </c>
      <c r="J37" t="inlineStr">
        <is>
          <t>16 rows, date and numeric values validated</t>
        </is>
      </c>
      <c r="K37" t="inlineStr">
        <is>
          <t>sources/original/monthly_2022/11_212228.html</t>
        </is>
      </c>
      <c r="L37" t="inlineStr">
        <is>
          <t>720164ec9060e9437db7e6c702e2be8d49bfe1a8031dc42d348342160288b99e</t>
        </is>
      </c>
    </row>
    <row r="38">
      <c r="A38" t="inlineStr">
        <is>
          <t>MONTH-2022-12</t>
        </is>
      </c>
      <c r="B38" t="inlineStr">
        <is>
          <t>2022年12月16区住房公积金信息</t>
        </is>
      </c>
      <c r="C38" t="inlineStr">
        <is>
          <t>上海市公积金管理中心</t>
        </is>
      </c>
      <c r="D38" t="inlineStr">
        <is>
          <t>https://www.shzfgjj.cn/html/newxxgk/ywsjtj/212590.html</t>
        </is>
      </c>
      <c r="E38" t="inlineStr">
        <is>
          <t>2023-01-16</t>
        </is>
      </c>
      <c r="F38" t="inlineStr">
        <is>
          <t>2022-12</t>
        </is>
      </c>
      <c r="G38" t="inlineStr">
        <is>
          <t>2026-10-27</t>
        </is>
      </c>
      <c r="H38" t="inlineStr">
        <is>
          <t>SHA-256 snapshot of publisher file</t>
        </is>
      </c>
      <c r="I38" t="inlineStr">
        <is>
          <t>16-district YTD collection and withdrawal; month-end units and contributors</t>
        </is>
      </c>
      <c r="J38" t="inlineStr">
        <is>
          <t>16 rows, date and numeric values validated</t>
        </is>
      </c>
      <c r="K38" t="inlineStr">
        <is>
          <t>sources/original/monthly_2022/12_212590.html</t>
        </is>
      </c>
      <c r="L38" t="inlineStr">
        <is>
          <t>abe50623fa504e14d83f93d8eb2356b38cb16d1ad447cab35f299d6ccd1c34aa</t>
        </is>
      </c>
    </row>
    <row r="39">
      <c r="A39" t="inlineStr">
        <is>
          <t>MONTH-2023-01</t>
        </is>
      </c>
      <c r="B39" t="inlineStr">
        <is>
          <t>2023年1月16区住房公积金信息</t>
        </is>
      </c>
      <c r="C39" t="inlineStr">
        <is>
          <t>上海市公积金管理中心</t>
        </is>
      </c>
      <c r="D39" t="inlineStr">
        <is>
          <t>https://www.shzfgjj.cn/html/newxxgk/ywsjtj/213018.html</t>
        </is>
      </c>
      <c r="E39" t="inlineStr">
        <is>
          <t>2023-02-16</t>
        </is>
      </c>
      <c r="F39" t="inlineStr">
        <is>
          <t>2023-01</t>
        </is>
      </c>
      <c r="G39" t="inlineStr">
        <is>
          <t>2026-10-27</t>
        </is>
      </c>
      <c r="H39" t="inlineStr">
        <is>
          <t>SHA-256 snapshot of publisher file</t>
        </is>
      </c>
      <c r="I39" t="inlineStr">
        <is>
          <t>16-district YTD collection and withdrawal; month-end units and contributors</t>
        </is>
      </c>
      <c r="J39" t="inlineStr">
        <is>
          <t>16 rows, date and numeric values validated</t>
        </is>
      </c>
      <c r="K39" t="inlineStr">
        <is>
          <t>sources/original/monthly_2023/01_213018.html</t>
        </is>
      </c>
      <c r="L39" t="inlineStr">
        <is>
          <t>5568509d4bad24cc6f4bffbeda0e9ff60eba28552f33a3d1607432c73bf68e4c</t>
        </is>
      </c>
    </row>
    <row r="40">
      <c r="A40" t="inlineStr">
        <is>
          <t>MONTH-2023-02</t>
        </is>
      </c>
      <c r="B40" t="inlineStr">
        <is>
          <t>2023年2月16区住房公积金信息</t>
        </is>
      </c>
      <c r="C40" t="inlineStr">
        <is>
          <t>上海市公积金管理中心</t>
        </is>
      </c>
      <c r="D40" t="inlineStr">
        <is>
          <t>https://www.shzfgjj.cn/html/newxxgk/ywsjtj/213599.html</t>
        </is>
      </c>
      <c r="E40" t="inlineStr">
        <is>
          <t>2023-03-16</t>
        </is>
      </c>
      <c r="F40" t="inlineStr">
        <is>
          <t>2023-02</t>
        </is>
      </c>
      <c r="G40" t="inlineStr">
        <is>
          <t>2026-10-27</t>
        </is>
      </c>
      <c r="H40" t="inlineStr">
        <is>
          <t>SHA-256 snapshot of publisher file</t>
        </is>
      </c>
      <c r="I40" t="inlineStr">
        <is>
          <t>16-district YTD collection and withdrawal; month-end units and contributors</t>
        </is>
      </c>
      <c r="J40" t="inlineStr">
        <is>
          <t>16 rows, date and numeric values validated</t>
        </is>
      </c>
      <c r="K40" t="inlineStr">
        <is>
          <t>sources/original/monthly_2023/02_213599.html</t>
        </is>
      </c>
      <c r="L40" t="inlineStr">
        <is>
          <t>bcd582a618029247618a0ea68aecae723dc36669ce79caf0af98d1c631d4359e</t>
        </is>
      </c>
    </row>
    <row r="41">
      <c r="A41" t="inlineStr">
        <is>
          <t>MONTH-2023-03</t>
        </is>
      </c>
      <c r="B41" t="inlineStr">
        <is>
          <t>2023年3月16区住房公积金信息</t>
        </is>
      </c>
      <c r="C41" t="inlineStr">
        <is>
          <t>上海市公积金管理中心</t>
        </is>
      </c>
      <c r="D41" t="inlineStr">
        <is>
          <t>https://www.shzfgjj.cn/html/newxxgk/ywsjtj/214083.html</t>
        </is>
      </c>
      <c r="E41" t="inlineStr">
        <is>
          <t>2023-04-17</t>
        </is>
      </c>
      <c r="F41" t="inlineStr">
        <is>
          <t>2023-03</t>
        </is>
      </c>
      <c r="G41" t="inlineStr">
        <is>
          <t>2026-10-27</t>
        </is>
      </c>
      <c r="H41" t="inlineStr">
        <is>
          <t>SHA-256 snapshot of publisher file</t>
        </is>
      </c>
      <c r="I41" t="inlineStr">
        <is>
          <t>16-district YTD collection and withdrawal; month-end units and contributors</t>
        </is>
      </c>
      <c r="J41" t="inlineStr">
        <is>
          <t>16 rows, date and numeric values validated</t>
        </is>
      </c>
      <c r="K41" t="inlineStr">
        <is>
          <t>sources/original/monthly_2023/03_214083.html</t>
        </is>
      </c>
      <c r="L41" t="inlineStr">
        <is>
          <t>5fc3bc5a419507255a97a7fd5ef8a77594ff8854d5bd71f03f77571914cb9995</t>
        </is>
      </c>
    </row>
    <row r="42">
      <c r="A42" t="inlineStr">
        <is>
          <t>MONTH-2023-04</t>
        </is>
      </c>
      <c r="B42" t="inlineStr">
        <is>
          <t>2023年4月16区住房公积金信息</t>
        </is>
      </c>
      <c r="C42" t="inlineStr">
        <is>
          <t>上海市公积金管理中心</t>
        </is>
      </c>
      <c r="D42" t="inlineStr">
        <is>
          <t>https://www.shzfgjj.cn/html/newxxgk/ywsjtj/214505.html</t>
        </is>
      </c>
      <c r="E42" t="inlineStr">
        <is>
          <t>2023-05-16</t>
        </is>
      </c>
      <c r="F42" t="inlineStr">
        <is>
          <t>2023-04</t>
        </is>
      </c>
      <c r="G42" t="inlineStr">
        <is>
          <t>2026-10-27</t>
        </is>
      </c>
      <c r="H42" t="inlineStr">
        <is>
          <t>SHA-256 snapshot of publisher file</t>
        </is>
      </c>
      <c r="I42" t="inlineStr">
        <is>
          <t>16-district YTD collection and withdrawal; month-end units and contributors</t>
        </is>
      </c>
      <c r="J42" t="inlineStr">
        <is>
          <t>16 rows, date and numeric values validated</t>
        </is>
      </c>
      <c r="K42" t="inlineStr">
        <is>
          <t>sources/original/monthly_2023/04_214505.html</t>
        </is>
      </c>
      <c r="L42" t="inlineStr">
        <is>
          <t>fefc7d76f767c266ec3607da9fb7cdd24fb9c843709aac0cd1f6a2c7f7814e0f</t>
        </is>
      </c>
    </row>
    <row r="43">
      <c r="A43" t="inlineStr">
        <is>
          <t>MONTH-2023-05</t>
        </is>
      </c>
      <c r="B43" t="inlineStr">
        <is>
          <t>2023年5月16区住房公积金信息</t>
        </is>
      </c>
      <c r="C43" t="inlineStr">
        <is>
          <t>上海市公积金管理中心</t>
        </is>
      </c>
      <c r="D43" t="inlineStr">
        <is>
          <t>https://www.shzfgjj.cn/html/newxxgk/ywsjtj/215083.html</t>
        </is>
      </c>
      <c r="E43" t="inlineStr">
        <is>
          <t>2023-06-16</t>
        </is>
      </c>
      <c r="F43" t="inlineStr">
        <is>
          <t>2023-05</t>
        </is>
      </c>
      <c r="G43" t="inlineStr">
        <is>
          <t>2026-10-27</t>
        </is>
      </c>
      <c r="H43" t="inlineStr">
        <is>
          <t>SHA-256 snapshot of publisher file</t>
        </is>
      </c>
      <c r="I43" t="inlineStr">
        <is>
          <t>16-district YTD collection and withdrawal; month-end units and contributors</t>
        </is>
      </c>
      <c r="J43" t="inlineStr">
        <is>
          <t>16 rows, date and numeric values validated</t>
        </is>
      </c>
      <c r="K43" t="inlineStr">
        <is>
          <t>sources/original/monthly_2023/05_215083.html</t>
        </is>
      </c>
      <c r="L43" t="inlineStr">
        <is>
          <t>5a7d39d88a76f2e25ad33c5703fa8325c22da446cf45a398687687b54402ef19</t>
        </is>
      </c>
    </row>
    <row r="44">
      <c r="A44" t="inlineStr">
        <is>
          <t>MONTH-2023-06</t>
        </is>
      </c>
      <c r="B44" t="inlineStr">
        <is>
          <t>2023年6月16区住房公积金信息</t>
        </is>
      </c>
      <c r="C44" t="inlineStr">
        <is>
          <t>上海市公积金管理中心</t>
        </is>
      </c>
      <c r="D44" t="inlineStr">
        <is>
          <t>https://www.shzfgjj.cn/html/newxxgk/ywsjtj/215669.html</t>
        </is>
      </c>
      <c r="E44" t="inlineStr">
        <is>
          <t>2023-07-14</t>
        </is>
      </c>
      <c r="F44" t="inlineStr">
        <is>
          <t>2023-06</t>
        </is>
      </c>
      <c r="G44" t="inlineStr">
        <is>
          <t>2026-10-27</t>
        </is>
      </c>
      <c r="H44" t="inlineStr">
        <is>
          <t>SHA-256 snapshot of publisher file</t>
        </is>
      </c>
      <c r="I44" t="inlineStr">
        <is>
          <t>16-district YTD collection and withdrawal; month-end units and contributors</t>
        </is>
      </c>
      <c r="J44" t="inlineStr">
        <is>
          <t>16 rows, date and numeric values validated</t>
        </is>
      </c>
      <c r="K44" t="inlineStr">
        <is>
          <t>sources/original/monthly_2023/06_215669.html</t>
        </is>
      </c>
      <c r="L44" t="inlineStr">
        <is>
          <t>83817321d0beb914b8fdb16cbc2e1005db78abd06677c68548472379ff3f5b51</t>
        </is>
      </c>
    </row>
    <row r="45">
      <c r="A45" t="inlineStr">
        <is>
          <t>MONTH-2023-07</t>
        </is>
      </c>
      <c r="B45" t="inlineStr">
        <is>
          <t>2023年7月16区住房公积金信息</t>
        </is>
      </c>
      <c r="C45" t="inlineStr">
        <is>
          <t>上海市公积金管理中心</t>
        </is>
      </c>
      <c r="D45" t="inlineStr">
        <is>
          <t>https://www.shzfgjj.cn/html/newxxgk/ywsjtj/216213.html</t>
        </is>
      </c>
      <c r="E45" t="inlineStr">
        <is>
          <t>2023-08-15</t>
        </is>
      </c>
      <c r="F45" t="inlineStr">
        <is>
          <t>2023-07</t>
        </is>
      </c>
      <c r="G45" t="inlineStr">
        <is>
          <t>2026-10-27</t>
        </is>
      </c>
      <c r="H45" t="inlineStr">
        <is>
          <t>SHA-256 snapshot of publisher file</t>
        </is>
      </c>
      <c r="I45" t="inlineStr">
        <is>
          <t>16-district YTD collection and withdrawal; month-end units and contributors</t>
        </is>
      </c>
      <c r="J45" t="inlineStr">
        <is>
          <t>16 rows, date and numeric values validated</t>
        </is>
      </c>
      <c r="K45" t="inlineStr">
        <is>
          <t>sources/original/monthly_2023/07_216213.html</t>
        </is>
      </c>
      <c r="L45" t="inlineStr">
        <is>
          <t>6095d0c2561fa51898be124889ca96f17495c6a4a698855907031ba21c71c00e</t>
        </is>
      </c>
    </row>
    <row r="46">
      <c r="A46" t="inlineStr">
        <is>
          <t>MONTH-2023-08</t>
        </is>
      </c>
      <c r="B46" t="inlineStr">
        <is>
          <t>2023年8月16区住房公积金信息</t>
        </is>
      </c>
      <c r="C46" t="inlineStr">
        <is>
          <t>上海市公积金管理中心</t>
        </is>
      </c>
      <c r="D46" t="inlineStr">
        <is>
          <t>https://www.shzfgjj.cn/html/newxxgk/ywsjtj/216847.html</t>
        </is>
      </c>
      <c r="E46" t="inlineStr">
        <is>
          <t>2023-09-18</t>
        </is>
      </c>
      <c r="F46" t="inlineStr">
        <is>
          <t>2023-08</t>
        </is>
      </c>
      <c r="G46" t="inlineStr">
        <is>
          <t>2026-10-27</t>
        </is>
      </c>
      <c r="H46" t="inlineStr">
        <is>
          <t>SHA-256 snapshot of publisher file</t>
        </is>
      </c>
      <c r="I46" t="inlineStr">
        <is>
          <t>16-district YTD collection and withdrawal; month-end units and contributors</t>
        </is>
      </c>
      <c r="J46" t="inlineStr">
        <is>
          <t>16 rows, date and numeric values validated</t>
        </is>
      </c>
      <c r="K46" t="inlineStr">
        <is>
          <t>sources/original/monthly_2023/08_216847.html</t>
        </is>
      </c>
      <c r="L46" t="inlineStr">
        <is>
          <t>a3fd03c468c8372588f400f5055d7918dc4987c279cd98c3dd6eaf56a680e442</t>
        </is>
      </c>
    </row>
    <row r="47">
      <c r="A47" t="inlineStr">
        <is>
          <t>MONTH-2023-09</t>
        </is>
      </c>
      <c r="B47" t="inlineStr">
        <is>
          <t>2023年9月16区住房公积金信息</t>
        </is>
      </c>
      <c r="C47" t="inlineStr">
        <is>
          <t>上海市公积金管理中心</t>
        </is>
      </c>
      <c r="D47" t="inlineStr">
        <is>
          <t>https://www.shzfgjj.cn/html/newxxgk/ywsjtj/217213.html</t>
        </is>
      </c>
      <c r="E47" t="inlineStr">
        <is>
          <t>2023-10-16</t>
        </is>
      </c>
      <c r="F47" t="inlineStr">
        <is>
          <t>2023-09</t>
        </is>
      </c>
      <c r="G47" t="inlineStr">
        <is>
          <t>2026-10-27</t>
        </is>
      </c>
      <c r="H47" t="inlineStr">
        <is>
          <t>SHA-256 snapshot of publisher file</t>
        </is>
      </c>
      <c r="I47" t="inlineStr">
        <is>
          <t>16-district YTD collection and withdrawal; month-end units and contributors</t>
        </is>
      </c>
      <c r="J47" t="inlineStr">
        <is>
          <t>16 rows, date and numeric values validated</t>
        </is>
      </c>
      <c r="K47" t="inlineStr">
        <is>
          <t>sources/original/monthly_2023/09_217213.html</t>
        </is>
      </c>
      <c r="L47" t="inlineStr">
        <is>
          <t>a31fb8aa6673fd40b69914e3f283f2247b9edd575e73bc9772d2731482244229</t>
        </is>
      </c>
    </row>
    <row r="48">
      <c r="A48" t="inlineStr">
        <is>
          <t>MONTH-2023-10</t>
        </is>
      </c>
      <c r="B48" t="inlineStr">
        <is>
          <t>2023年10月16区住房公积金信息</t>
        </is>
      </c>
      <c r="C48" t="inlineStr">
        <is>
          <t>上海市公积金管理中心</t>
        </is>
      </c>
      <c r="D48" t="inlineStr">
        <is>
          <t>https://www.shzfgjj.cn/html/newxxgk/ywsjtj/217797.html</t>
        </is>
      </c>
      <c r="E48" t="inlineStr">
        <is>
          <t>2023-11-16</t>
        </is>
      </c>
      <c r="F48" t="inlineStr">
        <is>
          <t>2023-10</t>
        </is>
      </c>
      <c r="G48" t="inlineStr">
        <is>
          <t>2026-10-27</t>
        </is>
      </c>
      <c r="H48" t="inlineStr">
        <is>
          <t>SHA-256 snapshot of publisher file</t>
        </is>
      </c>
      <c r="I48" t="inlineStr">
        <is>
          <t>16-district YTD collection and withdrawal; month-end units and contributors</t>
        </is>
      </c>
      <c r="J48" t="inlineStr">
        <is>
          <t>16 rows, date and numeric values validated</t>
        </is>
      </c>
      <c r="K48" t="inlineStr">
        <is>
          <t>sources/original/monthly_2023/10_217797.html</t>
        </is>
      </c>
      <c r="L48" t="inlineStr">
        <is>
          <t>3c1f6969aeba3f6b6dc1e8f8e1f42be3c157762d3142ce20b332d513b22cabe9</t>
        </is>
      </c>
    </row>
    <row r="49">
      <c r="A49" t="inlineStr">
        <is>
          <t>MONTH-2023-11</t>
        </is>
      </c>
      <c r="B49" t="inlineStr">
        <is>
          <t>2023年11月16区住房公积金信息</t>
        </is>
      </c>
      <c r="C49" t="inlineStr">
        <is>
          <t>上海市公积金管理中心</t>
        </is>
      </c>
      <c r="D49" t="inlineStr">
        <is>
          <t>https://www.shzfgjj.cn/html/newxxgk/ywsjtj/218475.html</t>
        </is>
      </c>
      <c r="E49" t="inlineStr">
        <is>
          <t>2023-12-15</t>
        </is>
      </c>
      <c r="F49" t="inlineStr">
        <is>
          <t>2023-11</t>
        </is>
      </c>
      <c r="G49" t="inlineStr">
        <is>
          <t>2026-10-27</t>
        </is>
      </c>
      <c r="H49" t="inlineStr">
        <is>
          <t>SHA-256 snapshot of publisher file</t>
        </is>
      </c>
      <c r="I49" t="inlineStr">
        <is>
          <t>16-district YTD collection and withdrawal; month-end units and contributors</t>
        </is>
      </c>
      <c r="J49" t="inlineStr">
        <is>
          <t>16 rows, date and numeric values validated</t>
        </is>
      </c>
      <c r="K49" t="inlineStr">
        <is>
          <t>sources/original/monthly_2023/11_218475.html</t>
        </is>
      </c>
      <c r="L49" t="inlineStr">
        <is>
          <t>189d9c54b8cf8e8875d929d3ea44bb04755432e27ba98a230c2d7d7cb6080307</t>
        </is>
      </c>
    </row>
    <row r="50">
      <c r="A50" t="inlineStr">
        <is>
          <t>MONTH-2023-12</t>
        </is>
      </c>
      <c r="B50" t="inlineStr">
        <is>
          <t>2023年12月16区住房公积金信息</t>
        </is>
      </c>
      <c r="C50" t="inlineStr">
        <is>
          <t>上海市公积金管理中心</t>
        </is>
      </c>
      <c r="D50" t="inlineStr">
        <is>
          <t>https://www.shzfgjj.cn/html/newxxgk/ywsjtj/219065.html</t>
        </is>
      </c>
      <c r="E50" t="inlineStr">
        <is>
          <t>2024-01-17</t>
        </is>
      </c>
      <c r="F50" t="inlineStr">
        <is>
          <t>2023-12</t>
        </is>
      </c>
      <c r="G50" t="inlineStr">
        <is>
          <t>2026-10-27</t>
        </is>
      </c>
      <c r="H50" t="inlineStr">
        <is>
          <t>SHA-256 snapshot of publisher file</t>
        </is>
      </c>
      <c r="I50" t="inlineStr">
        <is>
          <t>16-district YTD collection and withdrawal; month-end units and contributors</t>
        </is>
      </c>
      <c r="J50" t="inlineStr">
        <is>
          <t>16 rows, date and numeric values validated</t>
        </is>
      </c>
      <c r="K50" t="inlineStr">
        <is>
          <t>sources/original/monthly_2023/12_219065.html</t>
        </is>
      </c>
      <c r="L50" t="inlineStr">
        <is>
          <t>72ab331e0f52c5d0166360a8d39d9ea905eebd058ae127190cebf42d91db9eda</t>
        </is>
      </c>
    </row>
    <row r="51">
      <c r="A51" t="inlineStr">
        <is>
          <t>MONTH-2024-01</t>
        </is>
      </c>
      <c r="B51" t="inlineStr">
        <is>
          <t>2024年1月16区住房公积金信息</t>
        </is>
      </c>
      <c r="C51" t="inlineStr">
        <is>
          <t>上海市公积金管理中心</t>
        </is>
      </c>
      <c r="D51" t="inlineStr">
        <is>
          <t>https://www.shzfgjj.cn/html/newxxgk/ywsjtj/219479.html</t>
        </is>
      </c>
      <c r="E51" t="inlineStr">
        <is>
          <t>2024-02-18</t>
        </is>
      </c>
      <c r="F51" t="inlineStr">
        <is>
          <t>2024-01</t>
        </is>
      </c>
      <c r="G51" t="inlineStr">
        <is>
          <t>2026-10-27</t>
        </is>
      </c>
      <c r="H51" t="inlineStr">
        <is>
          <t>SHA-256 snapshot of publisher file</t>
        </is>
      </c>
      <c r="I51" t="inlineStr">
        <is>
          <t>16-district YTD collection and withdrawal; month-end units and contributors</t>
        </is>
      </c>
      <c r="J51" t="inlineStr">
        <is>
          <t>16 rows, date and numeric values validated</t>
        </is>
      </c>
      <c r="K51" t="inlineStr">
        <is>
          <t>sources/original/monthly_2024/01_219479.html</t>
        </is>
      </c>
      <c r="L51" t="inlineStr">
        <is>
          <t>74310ff8c27eea5a023c298b3ac597060d9fabc84dc75ca359f29d1600fed6a5</t>
        </is>
      </c>
    </row>
    <row r="52">
      <c r="A52" t="inlineStr">
        <is>
          <t>MONTH-2024-02</t>
        </is>
      </c>
      <c r="B52" t="inlineStr">
        <is>
          <t>2024年2月16区住房公积金信息</t>
        </is>
      </c>
      <c r="C52" t="inlineStr">
        <is>
          <t>上海市公积金管理中心</t>
        </is>
      </c>
      <c r="D52" t="inlineStr">
        <is>
          <t>https://www.shzfgjj.cn/html/newxxgk/ywsjtj/220043.html</t>
        </is>
      </c>
      <c r="E52" t="inlineStr">
        <is>
          <t>2024-03-18</t>
        </is>
      </c>
      <c r="F52" t="inlineStr">
        <is>
          <t>2024-02</t>
        </is>
      </c>
      <c r="G52" t="inlineStr">
        <is>
          <t>2026-10-27</t>
        </is>
      </c>
      <c r="H52" t="inlineStr">
        <is>
          <t>SHA-256 snapshot of publisher file</t>
        </is>
      </c>
      <c r="I52" t="inlineStr">
        <is>
          <t>16-district YTD collection and withdrawal; month-end units and contributors</t>
        </is>
      </c>
      <c r="J52" t="inlineStr">
        <is>
          <t>16 rows, date and numeric values validated</t>
        </is>
      </c>
      <c r="K52" t="inlineStr">
        <is>
          <t>sources/original/monthly_2024/02_220043.html</t>
        </is>
      </c>
      <c r="L52" t="inlineStr">
        <is>
          <t>e441f802558848672b9db61c64741dd652cff7bd806bc1855be2fc68c356c7f6</t>
        </is>
      </c>
    </row>
    <row r="53">
      <c r="A53" t="inlineStr">
        <is>
          <t>MONTH-2024-03</t>
        </is>
      </c>
      <c r="B53" t="inlineStr">
        <is>
          <t>2024年3月16区住房公积金信息</t>
        </is>
      </c>
      <c r="C53" t="inlineStr">
        <is>
          <t>上海市公积金管理中心</t>
        </is>
      </c>
      <c r="D53" t="inlineStr">
        <is>
          <t>https://www.shzfgjj.cn/html/newxxgk/ywsjtj/220515.html</t>
        </is>
      </c>
      <c r="E53" t="inlineStr">
        <is>
          <t>2024-04-16</t>
        </is>
      </c>
      <c r="F53" t="inlineStr">
        <is>
          <t>2024-03</t>
        </is>
      </c>
      <c r="G53" t="inlineStr">
        <is>
          <t>2026-10-27</t>
        </is>
      </c>
      <c r="H53" t="inlineStr">
        <is>
          <t>SHA-256 snapshot of publisher file</t>
        </is>
      </c>
      <c r="I53" t="inlineStr">
        <is>
          <t>16-district YTD collection and withdrawal; month-end units and contributors</t>
        </is>
      </c>
      <c r="J53" t="inlineStr">
        <is>
          <t>16 rows, date and numeric values validated</t>
        </is>
      </c>
      <c r="K53" t="inlineStr">
        <is>
          <t>sources/original/monthly_2024/03_220515.html</t>
        </is>
      </c>
      <c r="L53" t="inlineStr">
        <is>
          <t>49bbf8eb6cceef13348da8f097587d8cb0832b0cadfb4d804e680f12e2814406</t>
        </is>
      </c>
    </row>
    <row r="54">
      <c r="A54" t="inlineStr">
        <is>
          <t>MONTH-2024-04</t>
        </is>
      </c>
      <c r="B54" t="inlineStr">
        <is>
          <t>2024年4月16区住房公积金信息</t>
        </is>
      </c>
      <c r="C54" t="inlineStr">
        <is>
          <t>上海市公积金管理中心</t>
        </is>
      </c>
      <c r="D54" t="inlineStr">
        <is>
          <t>https://www.shzfgjj.cn/html/newxxgk/ywsjtj/221201.html</t>
        </is>
      </c>
      <c r="E54" t="inlineStr">
        <is>
          <t>2024-05-15</t>
        </is>
      </c>
      <c r="F54" t="inlineStr">
        <is>
          <t>2024-04</t>
        </is>
      </c>
      <c r="G54" t="inlineStr">
        <is>
          <t>2026-10-27</t>
        </is>
      </c>
      <c r="H54" t="inlineStr">
        <is>
          <t>SHA-256 snapshot of publisher file</t>
        </is>
      </c>
      <c r="I54" t="inlineStr">
        <is>
          <t>16-district YTD collection and withdrawal; month-end units and contributors</t>
        </is>
      </c>
      <c r="J54" t="inlineStr">
        <is>
          <t>16 rows, date and numeric values validated</t>
        </is>
      </c>
      <c r="K54" t="inlineStr">
        <is>
          <t>sources/original/monthly_2024/04_221201.html</t>
        </is>
      </c>
      <c r="L54" t="inlineStr">
        <is>
          <t>98715800537763ae24545c11668b913a550d06d9051bc3c6473937bf2db4ee54</t>
        </is>
      </c>
    </row>
    <row r="55">
      <c r="A55" t="inlineStr">
        <is>
          <t>MONTH-2024-05</t>
        </is>
      </c>
      <c r="B55" t="inlineStr">
        <is>
          <t>2024年5月16区住房公积金信息</t>
        </is>
      </c>
      <c r="C55" t="inlineStr">
        <is>
          <t>上海市公积金管理中心</t>
        </is>
      </c>
      <c r="D55" t="inlineStr">
        <is>
          <t>https://www.shzfgjj.cn/html/newxxgk/ywsjtj/221946.html</t>
        </is>
      </c>
      <c r="E55" t="inlineStr">
        <is>
          <t>2024-06-17</t>
        </is>
      </c>
      <c r="F55" t="inlineStr">
        <is>
          <t>2024-05</t>
        </is>
      </c>
      <c r="G55" t="inlineStr">
        <is>
          <t>2026-10-27</t>
        </is>
      </c>
      <c r="H55" t="inlineStr">
        <is>
          <t>SHA-256 snapshot of publisher file</t>
        </is>
      </c>
      <c r="I55" t="inlineStr">
        <is>
          <t>16-district YTD collection and withdrawal; month-end units and contributors</t>
        </is>
      </c>
      <c r="J55" t="inlineStr">
        <is>
          <t>16 rows, date and numeric values validated</t>
        </is>
      </c>
      <c r="K55" t="inlineStr">
        <is>
          <t>sources/original/monthly_2024/05_221946.html</t>
        </is>
      </c>
      <c r="L55" t="inlineStr">
        <is>
          <t>189c5bbe955e4f02e2599bf0385ff7f519c09898ae506a51d0c616c550a75d26</t>
        </is>
      </c>
    </row>
    <row r="56">
      <c r="A56" t="inlineStr">
        <is>
          <t>MONTH-2024-06</t>
        </is>
      </c>
      <c r="B56" t="inlineStr">
        <is>
          <t>2024年6月16区住房公积金信息</t>
        </is>
      </c>
      <c r="C56" t="inlineStr">
        <is>
          <t>上海市公积金管理中心</t>
        </is>
      </c>
      <c r="D56" t="inlineStr">
        <is>
          <t>https://www.shzfgjj.cn/html/newxxgk/ywsjtj/222741.html</t>
        </is>
      </c>
      <c r="E56" t="inlineStr">
        <is>
          <t>2024-07-16</t>
        </is>
      </c>
      <c r="F56" t="inlineStr">
        <is>
          <t>2024-06</t>
        </is>
      </c>
      <c r="G56" t="inlineStr">
        <is>
          <t>2026-10-27</t>
        </is>
      </c>
      <c r="H56" t="inlineStr">
        <is>
          <t>SHA-256 snapshot of publisher file</t>
        </is>
      </c>
      <c r="I56" t="inlineStr">
        <is>
          <t>16-district YTD collection and withdrawal; month-end units and contributors</t>
        </is>
      </c>
      <c r="J56" t="inlineStr">
        <is>
          <t>16 rows, date and numeric values validated</t>
        </is>
      </c>
      <c r="K56" t="inlineStr">
        <is>
          <t>sources/original/monthly_2024/06_222741.html</t>
        </is>
      </c>
      <c r="L56" t="inlineStr">
        <is>
          <t>7351ca63908e77c1e13637288c1750d6c3a6a7ca42c7f7b9f64b6f7bf3f7e78d</t>
        </is>
      </c>
    </row>
    <row r="57">
      <c r="A57" t="inlineStr">
        <is>
          <t>MONTH-2024-07</t>
        </is>
      </c>
      <c r="B57" t="inlineStr">
        <is>
          <t>2024年7月16区住房公积金信息</t>
        </is>
      </c>
      <c r="C57" t="inlineStr">
        <is>
          <t>上海市公积金管理中心</t>
        </is>
      </c>
      <c r="D57" t="inlineStr">
        <is>
          <t>https://www.shzfgjj.cn/html/newxxgk/ywsjtj/223387.html</t>
        </is>
      </c>
      <c r="E57" t="inlineStr">
        <is>
          <t>2024-08-16</t>
        </is>
      </c>
      <c r="F57" t="inlineStr">
        <is>
          <t>2024-07</t>
        </is>
      </c>
      <c r="G57" t="inlineStr">
        <is>
          <t>2026-10-27</t>
        </is>
      </c>
      <c r="H57" t="inlineStr">
        <is>
          <t>SHA-256 snapshot of publisher file</t>
        </is>
      </c>
      <c r="I57" t="inlineStr">
        <is>
          <t>16-district YTD collection and withdrawal; month-end units and contributors</t>
        </is>
      </c>
      <c r="J57" t="inlineStr">
        <is>
          <t>16 rows, date and numeric values validated</t>
        </is>
      </c>
      <c r="K57" t="inlineStr">
        <is>
          <t>sources/original/monthly_2024/07_223387.html</t>
        </is>
      </c>
      <c r="L57" t="inlineStr">
        <is>
          <t>85f56941d8a4f4fcab44c0ad33f2ccdb884f125d12d5c83863e47938b9858390</t>
        </is>
      </c>
    </row>
    <row r="58">
      <c r="A58" t="inlineStr">
        <is>
          <t>MONTH-2024-08</t>
        </is>
      </c>
      <c r="B58" t="inlineStr">
        <is>
          <t>2024年8月16区住房公积金信息</t>
        </is>
      </c>
      <c r="C58" t="inlineStr">
        <is>
          <t>上海市公积金管理中心</t>
        </is>
      </c>
      <c r="D58" t="inlineStr">
        <is>
          <t>https://www.shzfgjj.cn/html/newxxgk/ywsjtj/224137.html</t>
        </is>
      </c>
      <c r="E58" t="inlineStr">
        <is>
          <t>2024-09-18</t>
        </is>
      </c>
      <c r="F58" t="inlineStr">
        <is>
          <t>2024-08</t>
        </is>
      </c>
      <c r="G58" t="inlineStr">
        <is>
          <t>2026-10-27</t>
        </is>
      </c>
      <c r="H58" t="inlineStr">
        <is>
          <t>SHA-256 snapshot of publisher file</t>
        </is>
      </c>
      <c r="I58" t="inlineStr">
        <is>
          <t>16-district YTD collection and withdrawal; month-end units and contributors</t>
        </is>
      </c>
      <c r="J58" t="inlineStr">
        <is>
          <t>16 rows, date and numeric values validated</t>
        </is>
      </c>
      <c r="K58" t="inlineStr">
        <is>
          <t>sources/original/monthly_2024/08_224137.html</t>
        </is>
      </c>
      <c r="L58" t="inlineStr">
        <is>
          <t>f81c7118a3e4df2a469586f7fcdfef5a186b658ffe0286fc993dbfdc47ef9c58</t>
        </is>
      </c>
    </row>
    <row r="59">
      <c r="A59" t="inlineStr">
        <is>
          <t>MONTH-2024-09</t>
        </is>
      </c>
      <c r="B59" t="inlineStr">
        <is>
          <t>2024年9月16区住房公积金信息</t>
        </is>
      </c>
      <c r="C59" t="inlineStr">
        <is>
          <t>上海市公积金管理中心</t>
        </is>
      </c>
      <c r="D59" t="inlineStr">
        <is>
          <t>https://www.shzfgjj.cn/html/newxxgk/ywsjtj/224695.html</t>
        </is>
      </c>
      <c r="E59" t="inlineStr">
        <is>
          <t>2024-10-15</t>
        </is>
      </c>
      <c r="F59" t="inlineStr">
        <is>
          <t>2024-09</t>
        </is>
      </c>
      <c r="G59" t="inlineStr">
        <is>
          <t>2026-10-27</t>
        </is>
      </c>
      <c r="H59" t="inlineStr">
        <is>
          <t>SHA-256 snapshot of publisher file</t>
        </is>
      </c>
      <c r="I59" t="inlineStr">
        <is>
          <t>16-district YTD collection and withdrawal; month-end units and contributors</t>
        </is>
      </c>
      <c r="J59" t="inlineStr">
        <is>
          <t>16 rows, date and numeric values validated</t>
        </is>
      </c>
      <c r="K59" t="inlineStr">
        <is>
          <t>sources/original/monthly_2024/09_224695.html</t>
        </is>
      </c>
      <c r="L59" t="inlineStr">
        <is>
          <t>d724d46c707a4e452b208b30d26d2c24162c1f626f41149dee149909313bf825</t>
        </is>
      </c>
    </row>
    <row r="60">
      <c r="A60" t="inlineStr">
        <is>
          <t>MONTH-2024-10</t>
        </is>
      </c>
      <c r="B60" t="inlineStr">
        <is>
          <t>2024年10月16区住房公积金信息</t>
        </is>
      </c>
      <c r="C60" t="inlineStr">
        <is>
          <t>上海市公积金管理中心</t>
        </is>
      </c>
      <c r="D60" t="inlineStr">
        <is>
          <t>https://www.shzfgjj.cn/html/newxxgk/ywsjtj/225290.html</t>
        </is>
      </c>
      <c r="E60" t="inlineStr">
        <is>
          <t>2024-11-15</t>
        </is>
      </c>
      <c r="F60" t="inlineStr">
        <is>
          <t>2024-10</t>
        </is>
      </c>
      <c r="G60" t="inlineStr">
        <is>
          <t>2026-10-27</t>
        </is>
      </c>
      <c r="H60" t="inlineStr">
        <is>
          <t>SHA-256 snapshot of publisher file</t>
        </is>
      </c>
      <c r="I60" t="inlineStr">
        <is>
          <t>16-district YTD collection and withdrawal; month-end units and contributors</t>
        </is>
      </c>
      <c r="J60" t="inlineStr">
        <is>
          <t>16 rows, date and numeric values validated</t>
        </is>
      </c>
      <c r="K60" t="inlineStr">
        <is>
          <t>sources/original/monthly_2024/10_225290.html</t>
        </is>
      </c>
      <c r="L60" t="inlineStr">
        <is>
          <t>01153b0ccb2f1e955e77c6179382eb2853fab61f39c1f762abed465c0641bec3</t>
        </is>
      </c>
    </row>
    <row r="61">
      <c r="A61" t="inlineStr">
        <is>
          <t>MONTH-2024-11</t>
        </is>
      </c>
      <c r="B61" t="inlineStr">
        <is>
          <t>2024年11月16区住房公积金信息</t>
        </is>
      </c>
      <c r="C61" t="inlineStr">
        <is>
          <t>上海市公积金管理中心</t>
        </is>
      </c>
      <c r="D61" t="inlineStr">
        <is>
          <t>https://www.shzfgjj.cn/html/newxxgk/ywsjtj/225902.html</t>
        </is>
      </c>
      <c r="E61" t="inlineStr">
        <is>
          <t>2024-12-18</t>
        </is>
      </c>
      <c r="F61" t="inlineStr">
        <is>
          <t>2024-11</t>
        </is>
      </c>
      <c r="G61" t="inlineStr">
        <is>
          <t>2026-10-27</t>
        </is>
      </c>
      <c r="H61" t="inlineStr">
        <is>
          <t>SHA-256 snapshot of publisher file</t>
        </is>
      </c>
      <c r="I61" t="inlineStr">
        <is>
          <t>16-district YTD collection and withdrawal; month-end units and contributors</t>
        </is>
      </c>
      <c r="J61" t="inlineStr">
        <is>
          <t>16 rows, date and numeric values validated</t>
        </is>
      </c>
      <c r="K61" t="inlineStr">
        <is>
          <t>sources/original/monthly_2024/11_225902.html</t>
        </is>
      </c>
      <c r="L61" t="inlineStr">
        <is>
          <t>f21a43e9cbe069420d45e23a493210ea515c20013b26529fac1b3d600556a1e8</t>
        </is>
      </c>
    </row>
    <row r="62">
      <c r="A62" t="inlineStr">
        <is>
          <t>MONTH-2024-12</t>
        </is>
      </c>
      <c r="B62" t="inlineStr">
        <is>
          <t>2024年12月16区住房公积金信息</t>
        </is>
      </c>
      <c r="C62" t="inlineStr">
        <is>
          <t>上海市公积金管理中心</t>
        </is>
      </c>
      <c r="D62" t="inlineStr">
        <is>
          <t>https://www.shzfgjj.cn/html/newxxgk/ywsjtj/226404.html</t>
        </is>
      </c>
      <c r="E62" t="inlineStr">
        <is>
          <t>2025-01-16</t>
        </is>
      </c>
      <c r="F62" t="inlineStr">
        <is>
          <t>2024-12</t>
        </is>
      </c>
      <c r="G62" t="inlineStr">
        <is>
          <t>2026-10-27</t>
        </is>
      </c>
      <c r="H62" t="inlineStr">
        <is>
          <t>SHA-256 snapshot of publisher file</t>
        </is>
      </c>
      <c r="I62" t="inlineStr">
        <is>
          <t>16-district YTD collection and withdrawal; month-end units and contributors</t>
        </is>
      </c>
      <c r="J62" t="inlineStr">
        <is>
          <t>16 rows, date and numeric values validated</t>
        </is>
      </c>
      <c r="K62" t="inlineStr">
        <is>
          <t>sources/original/monthly_2024/12_226404.html</t>
        </is>
      </c>
      <c r="L62" t="inlineStr">
        <is>
          <t>fa198e708800c2788c4ca720aba28c53387341e1ceafdefa5a9d8556e8eb437f</t>
        </is>
      </c>
    </row>
    <row r="63">
      <c r="A63" t="inlineStr">
        <is>
          <t>MONTH-2025-01</t>
        </is>
      </c>
      <c r="B63" t="inlineStr">
        <is>
          <t>2025年1月16区住房公积金信息</t>
        </is>
      </c>
      <c r="C63" t="inlineStr">
        <is>
          <t>上海市公积金管理中心</t>
        </is>
      </c>
      <c r="D63" t="inlineStr">
        <is>
          <t>https://www.shzfgjj.cn/html/newxxgk/ywsjtj/226796.html</t>
        </is>
      </c>
      <c r="E63" t="inlineStr">
        <is>
          <t>2025-02-17</t>
        </is>
      </c>
      <c r="F63" t="inlineStr">
        <is>
          <t>2025-01</t>
        </is>
      </c>
      <c r="G63" t="inlineStr">
        <is>
          <t>2026-10-27</t>
        </is>
      </c>
      <c r="H63" t="inlineStr">
        <is>
          <t>SHA-256 snapshot of publisher file</t>
        </is>
      </c>
      <c r="I63" t="inlineStr">
        <is>
          <t>16-district YTD collection and withdrawal; month-end units and contributors</t>
        </is>
      </c>
      <c r="J63" t="inlineStr">
        <is>
          <t>16 rows, date and numeric values validated</t>
        </is>
      </c>
      <c r="K63" t="inlineStr">
        <is>
          <t>sources/original/monthly_2025/01_226796.html</t>
        </is>
      </c>
      <c r="L63" t="inlineStr">
        <is>
          <t>086ea967c16ebcc7e4241f989ff9508eb681a145be0febde9fefa7ae14fb5145</t>
        </is>
      </c>
    </row>
    <row r="64">
      <c r="A64" t="inlineStr">
        <is>
          <t>MONTH-2025-02</t>
        </is>
      </c>
      <c r="B64" t="inlineStr">
        <is>
          <t>2025年2月16区住房公积金信息</t>
        </is>
      </c>
      <c r="C64" t="inlineStr">
        <is>
          <t>上海市公积金管理中心</t>
        </is>
      </c>
      <c r="D64" t="inlineStr">
        <is>
          <t>https://www.shzfgjj.cn/html/newxxgk/ywsjtj/227332.html</t>
        </is>
      </c>
      <c r="E64" t="inlineStr">
        <is>
          <t>2025-03-18</t>
        </is>
      </c>
      <c r="F64" t="inlineStr">
        <is>
          <t>2025-02</t>
        </is>
      </c>
      <c r="G64" t="inlineStr">
        <is>
          <t>2026-10-27</t>
        </is>
      </c>
      <c r="H64" t="inlineStr">
        <is>
          <t>SHA-256 snapshot of publisher file</t>
        </is>
      </c>
      <c r="I64" t="inlineStr">
        <is>
          <t>16-district YTD collection and withdrawal; month-end units and contributors</t>
        </is>
      </c>
      <c r="J64" t="inlineStr">
        <is>
          <t>16 rows, date and numeric values validated</t>
        </is>
      </c>
      <c r="K64" t="inlineStr">
        <is>
          <t>sources/original/monthly_2025/02_227332.html</t>
        </is>
      </c>
      <c r="L64" t="inlineStr">
        <is>
          <t>f66d5a225700dd7fa208a8202eedcfec1a990ebc6b7ba5cd07feb29b119f929e</t>
        </is>
      </c>
    </row>
    <row r="65">
      <c r="A65" t="inlineStr">
        <is>
          <t>MONTH-2025-03</t>
        </is>
      </c>
      <c r="B65" t="inlineStr">
        <is>
          <t>2025年3月16区住房公积金信息</t>
        </is>
      </c>
      <c r="C65" t="inlineStr">
        <is>
          <t>上海市公积金管理中心</t>
        </is>
      </c>
      <c r="D65" t="inlineStr">
        <is>
          <t>https://www.shzfgjj.cn/html/newxxgk/ywsjtj/227786.html</t>
        </is>
      </c>
      <c r="E65" t="inlineStr">
        <is>
          <t>2025-04-17</t>
        </is>
      </c>
      <c r="F65" t="inlineStr">
        <is>
          <t>2025-03</t>
        </is>
      </c>
      <c r="G65" t="inlineStr">
        <is>
          <t>2026-10-27</t>
        </is>
      </c>
      <c r="H65" t="inlineStr">
        <is>
          <t>SHA-256 snapshot of publisher file</t>
        </is>
      </c>
      <c r="I65" t="inlineStr">
        <is>
          <t>16-district YTD collection and withdrawal; month-end units and contributors</t>
        </is>
      </c>
      <c r="J65" t="inlineStr">
        <is>
          <t>16 rows, date and numeric values validated</t>
        </is>
      </c>
      <c r="K65" t="inlineStr">
        <is>
          <t>sources/original/monthly_2025/03_227786.html</t>
        </is>
      </c>
      <c r="L65" t="inlineStr">
        <is>
          <t>ef39492e6e2228c30a197aa18e05ad57c7a8edb7b184902e695285aa04ca5965</t>
        </is>
      </c>
    </row>
    <row r="66">
      <c r="A66" t="inlineStr">
        <is>
          <t>MONTH-2025-04</t>
        </is>
      </c>
      <c r="B66" t="inlineStr">
        <is>
          <t>2025年4月16区住房公积金信息</t>
        </is>
      </c>
      <c r="C66" t="inlineStr">
        <is>
          <t>上海市公积金管理中心</t>
        </is>
      </c>
      <c r="D66" t="inlineStr">
        <is>
          <t>https://www.shzfgjj.cn/html/newxxgk/ywsjtj/227945.html</t>
        </is>
      </c>
      <c r="E66" t="inlineStr">
        <is>
          <t>2025-05-16</t>
        </is>
      </c>
      <c r="F66" t="inlineStr">
        <is>
          <t>2025-04</t>
        </is>
      </c>
      <c r="G66" t="inlineStr">
        <is>
          <t>2026-10-27</t>
        </is>
      </c>
      <c r="H66" t="inlineStr">
        <is>
          <t>SHA-256 snapshot of publisher file</t>
        </is>
      </c>
      <c r="I66" t="inlineStr">
        <is>
          <t>16-district YTD collection and withdrawal; month-end units and contributors</t>
        </is>
      </c>
      <c r="J66" t="inlineStr">
        <is>
          <t>16 rows, date and numeric values validated</t>
        </is>
      </c>
      <c r="K66" t="inlineStr">
        <is>
          <t>sources/original/monthly_2025/04_227945.html</t>
        </is>
      </c>
      <c r="L66" t="inlineStr">
        <is>
          <t>7b54768221d8e707127feda3a0cfaa2b00ca6e921b2919239631761ade148bd7</t>
        </is>
      </c>
    </row>
    <row r="67">
      <c r="A67" t="inlineStr">
        <is>
          <t>MONTH-2025-05</t>
        </is>
      </c>
      <c r="B67" t="inlineStr">
        <is>
          <t>2025年5月16区住房公积金信息</t>
        </is>
      </c>
      <c r="C67" t="inlineStr">
        <is>
          <t>上海市公积金管理中心</t>
        </is>
      </c>
      <c r="D67" t="inlineStr">
        <is>
          <t>https://www.shzfgjj.cn/html/newxxgk/ywsjtj/227993.html</t>
        </is>
      </c>
      <c r="E67" t="inlineStr">
        <is>
          <t>2025-06-16</t>
        </is>
      </c>
      <c r="F67" t="inlineStr">
        <is>
          <t>2025-05</t>
        </is>
      </c>
      <c r="G67" t="inlineStr">
        <is>
          <t>2026-10-27</t>
        </is>
      </c>
      <c r="H67" t="inlineStr">
        <is>
          <t>SHA-256 snapshot of publisher file</t>
        </is>
      </c>
      <c r="I67" t="inlineStr">
        <is>
          <t>16-district YTD collection and withdrawal; month-end units and contributors</t>
        </is>
      </c>
      <c r="J67" t="inlineStr">
        <is>
          <t>16 rows, date and numeric values validated</t>
        </is>
      </c>
      <c r="K67" t="inlineStr">
        <is>
          <t>sources/original/monthly_2025/05_227993.html</t>
        </is>
      </c>
      <c r="L67" t="inlineStr">
        <is>
          <t>4683b67a832c4ea74a2595a7880347935b7ea815e42a8e4a291f2f3e031ae82c</t>
        </is>
      </c>
    </row>
    <row r="68">
      <c r="A68" t="inlineStr">
        <is>
          <t>MONTH-2025-06</t>
        </is>
      </c>
      <c r="B68" t="inlineStr">
        <is>
          <t>2025年6月16区住房公积金信息</t>
        </is>
      </c>
      <c r="C68" t="inlineStr">
        <is>
          <t>上海市公积金管理中心</t>
        </is>
      </c>
      <c r="D68" t="inlineStr">
        <is>
          <t>https://www.shzfgjj.cn/html/newxxgk/ywsjtj/228041.html</t>
        </is>
      </c>
      <c r="E68" t="inlineStr">
        <is>
          <t>2025-07-17</t>
        </is>
      </c>
      <c r="F68" t="inlineStr">
        <is>
          <t>2025-06</t>
        </is>
      </c>
      <c r="G68" t="inlineStr">
        <is>
          <t>2026-10-27</t>
        </is>
      </c>
      <c r="H68" t="inlineStr">
        <is>
          <t>SHA-256 snapshot of publisher file</t>
        </is>
      </c>
      <c r="I68" t="inlineStr">
        <is>
          <t>16-district YTD collection and withdrawal; month-end units and contributors</t>
        </is>
      </c>
      <c r="J68" t="inlineStr">
        <is>
          <t>16 rows, date and numeric values validated</t>
        </is>
      </c>
      <c r="K68" t="inlineStr">
        <is>
          <t>sources/original/monthly_2025/06_228041.html</t>
        </is>
      </c>
      <c r="L68" t="inlineStr">
        <is>
          <t>b0f3c41ec476e2b65f6735a3189cdd5b197c6d99e084406722a1f505b1655f4d</t>
        </is>
      </c>
    </row>
    <row r="69">
      <c r="A69" t="inlineStr">
        <is>
          <t>MONTH-2025-07</t>
        </is>
      </c>
      <c r="B69" t="inlineStr">
        <is>
          <t>2025年7月16区住房公积金信息</t>
        </is>
      </c>
      <c r="C69" t="inlineStr">
        <is>
          <t>上海市公积金管理中心</t>
        </is>
      </c>
      <c r="D69" t="inlineStr">
        <is>
          <t>https://www.shzfgjj.cn/html/newxxgk/ywsjtj/228069.html</t>
        </is>
      </c>
      <c r="E69" t="inlineStr">
        <is>
          <t>2025-08-18</t>
        </is>
      </c>
      <c r="F69" t="inlineStr">
        <is>
          <t>2025-07</t>
        </is>
      </c>
      <c r="G69" t="inlineStr">
        <is>
          <t>2026-10-27</t>
        </is>
      </c>
      <c r="H69" t="inlineStr">
        <is>
          <t>SHA-256 snapshot of publisher file</t>
        </is>
      </c>
      <c r="I69" t="inlineStr">
        <is>
          <t>16-district YTD collection and withdrawal; month-end units and contributors</t>
        </is>
      </c>
      <c r="J69" t="inlineStr">
        <is>
          <t>16 rows, date and numeric values validated</t>
        </is>
      </c>
      <c r="K69" t="inlineStr">
        <is>
          <t>sources/original/monthly_2025/07_228069.html</t>
        </is>
      </c>
      <c r="L69" t="inlineStr">
        <is>
          <t>8f2c6a4a6d7edd9a261482d654634fbf7eaf44e3952ccc390195b3830e2b7ad5</t>
        </is>
      </c>
    </row>
    <row r="70">
      <c r="A70" t="inlineStr">
        <is>
          <t>MONTH-2025-08</t>
        </is>
      </c>
      <c r="B70" t="inlineStr">
        <is>
          <t>2025年8月16区住房公积金信息</t>
        </is>
      </c>
      <c r="C70" t="inlineStr">
        <is>
          <t>上海市公积金管理中心</t>
        </is>
      </c>
      <c r="D70" t="inlineStr">
        <is>
          <t>https://www.shzfgjj.cn/html/newxxgk/ywsjtj/228129.html</t>
        </is>
      </c>
      <c r="E70" t="inlineStr">
        <is>
          <t>2025-09-16</t>
        </is>
      </c>
      <c r="F70" t="inlineStr">
        <is>
          <t>2025-08</t>
        </is>
      </c>
      <c r="G70" t="inlineStr">
        <is>
          <t>2026-10-27</t>
        </is>
      </c>
      <c r="H70" t="inlineStr">
        <is>
          <t>SHA-256 snapshot of publisher file</t>
        </is>
      </c>
      <c r="I70" t="inlineStr">
        <is>
          <t>16-district YTD collection and withdrawal; month-end units and contributors</t>
        </is>
      </c>
      <c r="J70" t="inlineStr">
        <is>
          <t>16 rows, date and numeric values validated</t>
        </is>
      </c>
      <c r="K70" t="inlineStr">
        <is>
          <t>sources/original/monthly_2025/08_228129.html</t>
        </is>
      </c>
      <c r="L70" t="inlineStr">
        <is>
          <t>314fec226f02e6518c00170262b965f893c5508d57d288fd022d43c23c67d31c</t>
        </is>
      </c>
    </row>
    <row r="71">
      <c r="A71" t="inlineStr">
        <is>
          <t>MONTH-2025-09</t>
        </is>
      </c>
      <c r="B71" t="inlineStr">
        <is>
          <t>2025年9月16区住房公积金信息</t>
        </is>
      </c>
      <c r="C71" t="inlineStr">
        <is>
          <t>上海市公积金管理中心</t>
        </is>
      </c>
      <c r="D71" t="inlineStr">
        <is>
          <t>https://www.shzfgjj.cn/html/newxxgk/ywsjtj/228184.html</t>
        </is>
      </c>
      <c r="E71" t="inlineStr">
        <is>
          <t>2025-10-17</t>
        </is>
      </c>
      <c r="F71" t="inlineStr">
        <is>
          <t>2025-09</t>
        </is>
      </c>
      <c r="G71" t="inlineStr">
        <is>
          <t>2026-10-27</t>
        </is>
      </c>
      <c r="H71" t="inlineStr">
        <is>
          <t>SHA-256 snapshot of publisher file</t>
        </is>
      </c>
      <c r="I71" t="inlineStr">
        <is>
          <t>16-district YTD collection and withdrawal; month-end units and contributors</t>
        </is>
      </c>
      <c r="J71" t="inlineStr">
        <is>
          <t>16 rows, date and numeric values validated</t>
        </is>
      </c>
      <c r="K71" t="inlineStr">
        <is>
          <t>sources/original/monthly_2025/09_228184.html</t>
        </is>
      </c>
      <c r="L71" t="inlineStr">
        <is>
          <t>6281838eeba4343e48c2a7f74c868d218aa5a1d4a1c8ed285d012b2b194343d0</t>
        </is>
      </c>
    </row>
    <row r="72">
      <c r="A72" t="inlineStr">
        <is>
          <t>MONTH-2025-10</t>
        </is>
      </c>
      <c r="B72" t="inlineStr">
        <is>
          <t>2025年10月16区住房公积金信息</t>
        </is>
      </c>
      <c r="C72" t="inlineStr">
        <is>
          <t>上海市公积金管理中心</t>
        </is>
      </c>
      <c r="D72" t="inlineStr">
        <is>
          <t>https://www.shzfgjj.cn/html/newxxgk/ywsjtj/228222.html</t>
        </is>
      </c>
      <c r="E72" t="inlineStr">
        <is>
          <t>2025-11-17</t>
        </is>
      </c>
      <c r="F72" t="inlineStr">
        <is>
          <t>2025-10</t>
        </is>
      </c>
      <c r="G72" t="inlineStr">
        <is>
          <t>2026-10-27</t>
        </is>
      </c>
      <c r="H72" t="inlineStr">
        <is>
          <t>SHA-256 snapshot of publisher file</t>
        </is>
      </c>
      <c r="I72" t="inlineStr">
        <is>
          <t>16-district YTD collection and withdrawal; month-end units and contributors</t>
        </is>
      </c>
      <c r="J72" t="inlineStr">
        <is>
          <t>16 rows, date and numeric values validated</t>
        </is>
      </c>
      <c r="K72" t="inlineStr">
        <is>
          <t>sources/original/monthly_2025/10_228222.html</t>
        </is>
      </c>
      <c r="L72" t="inlineStr">
        <is>
          <t>c1e54aa2621733e7154a2c9b7c16c5dcd17eee9f76cb85f5f21c1fb040af3dbc</t>
        </is>
      </c>
    </row>
    <row r="73">
      <c r="A73" t="inlineStr">
        <is>
          <t>MONTH-2025-11</t>
        </is>
      </c>
      <c r="B73" t="inlineStr">
        <is>
          <t>2025年11月16区住房公积金信息</t>
        </is>
      </c>
      <c r="C73" t="inlineStr">
        <is>
          <t>上海市公积金管理中心</t>
        </is>
      </c>
      <c r="D73" t="inlineStr">
        <is>
          <t>https://www.shzfgjj.cn/html/newxxgk/ywsjtj/228246.html</t>
        </is>
      </c>
      <c r="E73" t="inlineStr">
        <is>
          <t>2025-12-16</t>
        </is>
      </c>
      <c r="F73" t="inlineStr">
        <is>
          <t>2025-11</t>
        </is>
      </c>
      <c r="G73" t="inlineStr">
        <is>
          <t>2026-10-27</t>
        </is>
      </c>
      <c r="H73" t="inlineStr">
        <is>
          <t>SHA-256 snapshot of publisher file</t>
        </is>
      </c>
      <c r="I73" t="inlineStr">
        <is>
          <t>16-district YTD collection and withdrawal; month-end units and contributors</t>
        </is>
      </c>
      <c r="J73" t="inlineStr">
        <is>
          <t>16 rows, date and numeric values validated</t>
        </is>
      </c>
      <c r="K73" t="inlineStr">
        <is>
          <t>sources/original/monthly_2025/11_228246.html</t>
        </is>
      </c>
      <c r="L73" t="inlineStr">
        <is>
          <t>b4ea49f1753c2ddd6262e1835d5f6d78a13e4f791dacc0591b2ae6a17111c6ad</t>
        </is>
      </c>
    </row>
    <row r="74">
      <c r="A74" t="inlineStr">
        <is>
          <t>MONTH-2025-12</t>
        </is>
      </c>
      <c r="B74" t="inlineStr">
        <is>
          <t>2025年12月16区住房公积金信息</t>
        </is>
      </c>
      <c r="C74" t="inlineStr">
        <is>
          <t>上海市公积金管理中心</t>
        </is>
      </c>
      <c r="D74" t="inlineStr">
        <is>
          <t>https://www.shzfgjj.cn/html/newxxgk/ywsjtj/228264.html</t>
        </is>
      </c>
      <c r="E74" t="inlineStr">
        <is>
          <t>2026-01-16</t>
        </is>
      </c>
      <c r="F74" t="inlineStr">
        <is>
          <t>2025-12</t>
        </is>
      </c>
      <c r="G74" t="inlineStr">
        <is>
          <t>2026-10-27</t>
        </is>
      </c>
      <c r="H74" t="inlineStr">
        <is>
          <t>SHA-256 snapshot of publisher file</t>
        </is>
      </c>
      <c r="I74" t="inlineStr">
        <is>
          <t>16-district YTD collection and withdrawal; month-end units and contributors</t>
        </is>
      </c>
      <c r="J74" t="inlineStr">
        <is>
          <t>16 rows, date and numeric values validated</t>
        </is>
      </c>
      <c r="K74" t="inlineStr">
        <is>
          <t>sources/original/monthly_2025/12_228264.html</t>
        </is>
      </c>
      <c r="L74" t="inlineStr">
        <is>
          <t>2f33e7333b2a3b0f78d285e8269851a272b31f0aa7ad64953c0e357b5e07e35c</t>
        </is>
      </c>
    </row>
    <row r="75">
      <c r="A75" t="inlineStr">
        <is>
          <t>MOF-RISK-1999</t>
        </is>
      </c>
      <c r="B75" t="inlineStr">
        <is>
          <t>财政部关于住房公积金财务管理办法补充规定的通知</t>
        </is>
      </c>
      <c r="C75" t="inlineStr">
        <is>
          <t>中华人民共和国财政部（嘉峪关市政府转载）</t>
        </is>
      </c>
      <c r="D75" t="inlineStr">
        <is>
          <t>https://www.jyg.gov.cn/gjj/zwxxgk/zc/zcfg/gjjjczc/art/2022/art_2e0ab8873f0744198e8a1954626c3ac1.html</t>
        </is>
      </c>
      <c r="E75" t="inlineStr">
        <is>
          <t>1999-10-09</t>
        </is>
      </c>
      <c r="F75" t="inlineStr">
        <is>
          <t>1999 onward; 2025 applicability to verify</t>
        </is>
      </c>
      <c r="G75" t="inlineStr">
        <is>
          <t>2026-10-27</t>
        </is>
      </c>
      <c r="H75" t="inlineStr">
        <is>
          <t>Government reproduction of 财综字[1999]149号; TLS certificate expired at retrieval; SHA-256 snapshot</t>
        </is>
      </c>
      <c r="I75" t="inlineStr">
        <is>
          <t>risk reserve minimum and fund allocation</t>
        </is>
      </c>
      <c r="J75" t="inlineStr">
        <is>
          <t>statutory text reviewed; local 2025 implementing method not obtained</t>
        </is>
      </c>
      <c r="K75" t="inlineStr">
        <is>
          <t>sources/original/mof_risk_reserve_1999.html</t>
        </is>
      </c>
      <c r="L75" t="inlineStr">
        <is>
          <t>2e2c81a6b682df6b9c5cd07d0b094687731cfabec356d2ad36e16005d9e65343</t>
        </is>
      </c>
    </row>
    <row r="76">
      <c r="A76" t="inlineStr">
        <is>
          <t>NATIONAL-REG-2019</t>
        </is>
      </c>
      <c r="B76" t="inlineStr">
        <is>
          <t>2025年适用的住房公积金管理条例</t>
        </is>
      </c>
      <c r="C76" t="inlineStr">
        <is>
          <t>中华人民共和国国务院</t>
        </is>
      </c>
      <c r="D76" t="inlineStr">
        <is>
          <t>https://www.shanghai.gov.cn/qyzfgjjgjj/20240927/231b35b7e70d4c1289141867c849014c.html</t>
        </is>
      </c>
      <c r="E76" t="inlineStr">
        <is>
          <t>2019-03-24</t>
        </is>
      </c>
      <c r="F76" t="n">
        <v>2025</v>
      </c>
      <c r="G76" t="inlineStr">
        <is>
          <t>2026-10-27</t>
        </is>
      </c>
      <c r="H76" t="inlineStr">
        <is>
          <t>2019 revised regulation reproduced on Shanghai government site; SHA-256 snapshot</t>
        </is>
      </c>
      <c r="I76" t="inlineStr">
        <is>
          <t>national law baseline</t>
        </is>
      </c>
      <c r="J76" t="inlineStr">
        <is>
          <t>text reviewed for 2025 legal baseline</t>
        </is>
      </c>
      <c r="K76" t="inlineStr">
        <is>
          <t>sources/original/national_reg_2019.html</t>
        </is>
      </c>
      <c r="L76" t="inlineStr">
        <is>
          <t>2cd17f07b1e323f4a4578c24ab5ed29de99fa6d3323351501748f64c9ac15bdb</t>
        </is>
      </c>
    </row>
    <row r="77">
      <c r="A77" t="inlineStr">
        <is>
          <t>SH-REMIT-2023</t>
        </is>
      </c>
      <c r="B77" t="inlineStr">
        <is>
          <t>上海市住房公积金缴存管理办法</t>
        </is>
      </c>
      <c r="C77" t="inlineStr">
        <is>
          <t>上海市住房公积金管理委员会</t>
        </is>
      </c>
      <c r="D77" t="inlineStr">
        <is>
          <t>https://www.shanghai.gov.cn/gwk/affairs/content/0064%4003d6f8b173fb4927b9a475f0e764b9dd</t>
        </is>
      </c>
      <c r="E77" t="inlineStr">
        <is>
          <t>2023-03-31</t>
        </is>
      </c>
      <c r="F77" t="inlineStr">
        <is>
          <t>2023-04-01 onward</t>
        </is>
      </c>
      <c r="G77" t="inlineStr">
        <is>
          <t>2026-10-27</t>
        </is>
      </c>
      <c r="H77" t="inlineStr">
        <is>
          <t>Official government page archived; effective date distinct from republication date</t>
        </is>
      </c>
      <c r="I77" t="inlineStr">
        <is>
          <t>Shanghai contribution rules</t>
        </is>
      </c>
      <c r="J77" t="inlineStr">
        <is>
          <t>text reviewed for 2025 legal baseline</t>
        </is>
      </c>
      <c r="K77" t="inlineStr">
        <is>
          <t>sources/original/sh_remit_2023.html</t>
        </is>
      </c>
      <c r="L77" t="inlineStr">
        <is>
          <t>0a37f52afadd15ab922dd9948c49c80b15cc0b9ed6d24d3a4fc918f38fdaff38</t>
        </is>
      </c>
    </row>
    <row r="78">
      <c r="A78" t="inlineStr">
        <is>
          <t>SH-WITHDRAW-2023</t>
        </is>
      </c>
      <c r="B78" t="inlineStr">
        <is>
          <t>上海市住房公积金提取管理办法</t>
        </is>
      </c>
      <c r="C78" t="inlineStr">
        <is>
          <t>上海市住房公积金管理委员会</t>
        </is>
      </c>
      <c r="D78" t="inlineStr">
        <is>
          <t>https://www.shanghai.gov.cn/qyzfgjjsjzc/20240927/70392c98a8304968a46e8bb62b062f25.html</t>
        </is>
      </c>
      <c r="E78" t="inlineStr">
        <is>
          <t>2023-03-31</t>
        </is>
      </c>
      <c r="F78" t="inlineStr">
        <is>
          <t>2023-04-01 onward</t>
        </is>
      </c>
      <c r="G78" t="inlineStr">
        <is>
          <t>2026-10-27</t>
        </is>
      </c>
      <c r="H78" t="inlineStr">
        <is>
          <t>Official government page archived; effective date distinct from republication date</t>
        </is>
      </c>
      <c r="I78" t="inlineStr">
        <is>
          <t>Shanghai withdrawal rules</t>
        </is>
      </c>
      <c r="J78" t="inlineStr">
        <is>
          <t>text reviewed for 2025 legal baseline</t>
        </is>
      </c>
      <c r="K78" t="inlineStr">
        <is>
          <t>sources/original/sh_withdraw_2023.html</t>
        </is>
      </c>
      <c r="L78" t="inlineStr">
        <is>
          <t>e30bcb5a543a1b3d0577b47174609a5169bd8658507c5724c6547aebe9525300</t>
        </is>
      </c>
    </row>
    <row r="79">
      <c r="A79" t="inlineStr">
        <is>
          <t>POLICY-2022-RENT</t>
        </is>
      </c>
      <c r="B79" t="inlineStr">
        <is>
          <t>关于本市实施住房公积金阶段性支持政策的实施细则（含租房月限额）</t>
        </is>
      </c>
      <c r="C79" t="inlineStr">
        <is>
          <t>上海市公积金管理中心</t>
        </is>
      </c>
      <c r="D79" t="inlineStr">
        <is>
          <t>https://www.shzfgjj.cn/html/newxxgk/zcwj/gjjgwh/albpl/qt/209338.html</t>
        </is>
      </c>
      <c r="E79" t="inlineStr">
        <is>
          <t>2022-05-30</t>
        </is>
      </c>
      <c r="F79" t="inlineStr">
        <is>
          <t>2022-06-01 onward</t>
        </is>
      </c>
      <c r="G79" t="inlineStr">
        <is>
          <t>2026-10-27</t>
        </is>
      </c>
      <c r="H79" t="inlineStr">
        <is>
          <t>Official HTML SHA-256 snapshot; rent limit is one clause of broader pandemic support policy</t>
        </is>
      </c>
      <c r="I79" t="inlineStr">
        <is>
          <t>rental withdrawal policy</t>
        </is>
      </c>
      <c r="J79" t="inlineStr">
        <is>
          <t>policy text reviewed</t>
        </is>
      </c>
      <c r="K79" t="inlineStr">
        <is>
          <t>sources/original/policy_2022_rent.html</t>
        </is>
      </c>
      <c r="L79" t="inlineStr">
        <is>
          <t>37811e3c85fbcc99e450da976e66ca8b197b58deaf1bd5a1be20d2dfadef77ab</t>
        </is>
      </c>
    </row>
    <row r="80">
      <c r="A80" t="inlineStr">
        <is>
          <t>CENTER-FINAL-2025</t>
        </is>
      </c>
      <c r="B80" t="inlineStr">
        <is>
          <t>上海市公积金管理中心2025年度决算</t>
        </is>
      </c>
      <c r="C80" t="inlineStr">
        <is>
          <t>上海市公积金管理中心 / 上海市人民政府</t>
        </is>
      </c>
      <c r="D80" t="inlineStr">
        <is>
          <t>https://www.shanghai.gov.cn/cmsres/52/52d88d876d064813879ac4857aac2622/c6eed1e7413a568828be064eaee52710.pdf</t>
        </is>
      </c>
      <c r="E80" t="inlineStr">
        <is>
          <t>2026-08-18</t>
        </is>
      </c>
      <c r="F80" t="n">
        <v>2025</v>
      </c>
      <c r="G80" t="inlineStr">
        <is>
          <t>2026-10-27</t>
        </is>
      </c>
      <c r="H80" t="inlineStr">
        <is>
          <t>Government department final-accounts PDF; SHA-256 snapshot</t>
        </is>
      </c>
      <c r="I80" t="inlineStr">
        <is>
          <t>institutional actual fiscal revenue and spending</t>
        </is>
      </c>
      <c r="J80" t="inlineStr">
        <is>
          <t>original archived; core totals transcribed</t>
        </is>
      </c>
      <c r="K80" t="inlineStr">
        <is>
          <t>sources/original/center_final_2025.pdf</t>
        </is>
      </c>
      <c r="L80" t="inlineStr">
        <is>
          <t>7d0a419a494b61ce5bfa15e350e7b53f25ed16f920d2ac7c3ed1aa5eae5146e4</t>
        </is>
      </c>
    </row>
  </sheetData>
  <autoFilter ref="A1:L8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14" customWidth="1" min="4" max="4"/>
    <col width="17" customWidth="1" min="5" max="5"/>
    <col width="13" customWidth="1" min="6" max="6"/>
  </cols>
  <sheetData>
    <row r="1">
      <c r="A1" s="1" t="inlineStr">
        <is>
          <t>year</t>
        </is>
      </c>
      <c r="B1" s="1" t="inlineStr">
        <is>
          <t>field</t>
        </is>
      </c>
      <c r="C1" s="1" t="inlineStr">
        <is>
          <t>transcribed_value</t>
        </is>
      </c>
      <c r="D1" s="1" t="inlineStr">
        <is>
          <t>label_match</t>
        </is>
      </c>
      <c r="E1" s="1" t="inlineStr">
        <is>
          <t>source_context</t>
        </is>
      </c>
      <c r="F1" s="1" t="inlineStr">
        <is>
          <t>source_url</t>
        </is>
      </c>
    </row>
    <row r="2">
      <c r="A2" t="n">
        <v>2015</v>
      </c>
      <c r="B2" t="inlineStr">
        <is>
          <t>contributors_10k</t>
        </is>
      </c>
      <c r="C2" t="n">
        <v>714.36</v>
      </c>
      <c r="D2" t="inlineStr">
        <is>
          <t>yes</t>
        </is>
      </c>
      <c r="E2" t="inlineStr">
        <is>
          <t>人。二、业务运行情况（一）缴存：本市受委托办理住房公积金缴存业务的银行1家。全年实缴单位26.99万家实缴职工714.36万人缴存额880.96亿元同比增长11.</t>
        </is>
      </c>
      <c r="F2" t="inlineStr">
        <is>
          <t>https://www.shzfgjj.cn/html/newxxgk/ndbg/208089.html</t>
        </is>
      </c>
    </row>
    <row r="3">
      <c r="A3" t="n">
        <v>2015</v>
      </c>
      <c r="B3" t="inlineStr">
        <is>
          <t>contributions_100m</t>
        </is>
      </c>
      <c r="C3" t="n">
        <v>880.96</v>
      </c>
      <c r="D3" t="inlineStr">
        <is>
          <t>yes</t>
        </is>
      </c>
      <c r="E3" t="inlineStr">
        <is>
          <t>一）缴存：本市受委托办理住房公积金缴存业务的银行1家。全年实缴单位26.99万家实缴职工714.36万人缴存额880.96亿元同比增长11.96%。当年新开户单位</t>
        </is>
      </c>
      <c r="F3" t="inlineStr">
        <is>
          <t>https://www.shzfgjj.cn/html/newxxgk/ndbg/208089.html</t>
        </is>
      </c>
    </row>
    <row r="4">
      <c r="A4" t="n">
        <v>2015</v>
      </c>
      <c r="B4" t="inlineStr">
        <is>
          <t>withdrawals_100m</t>
        </is>
      </c>
      <c r="C4" t="n">
        <v>510.48</v>
      </c>
      <c r="D4" t="inlineStr">
        <is>
          <t>yes</t>
        </is>
      </c>
      <c r="E4" t="inlineStr">
        <is>
          <t>存总额6096.56亿元缴存余额2822.57亿元分别同比增长16.89%、15.11%。（二）提取：全年提取510.48亿元占当年缴存额的57.95%比上年同期</t>
        </is>
      </c>
      <c r="F4" t="inlineStr">
        <is>
          <t>https://www.shzfgjj.cn/html/newxxgk/ndbg/208089.html</t>
        </is>
      </c>
    </row>
    <row r="5">
      <c r="A5" t="n">
        <v>2015</v>
      </c>
      <c r="B5" t="inlineStr">
        <is>
          <t>fund_balance_100m</t>
        </is>
      </c>
      <c r="C5" t="n">
        <v>2822.57</v>
      </c>
      <c r="D5" t="inlineStr">
        <is>
          <t>yes</t>
        </is>
      </c>
      <c r="E5" t="inlineStr">
        <is>
          <t>工89.61万人净增单位5.98万家净增职工51.52万人。截至2015年底缴存总额6096.56亿元缴存余额2822.57亿元分别同比增长16.89%、15.11</t>
        </is>
      </c>
      <c r="F5" t="inlineStr">
        <is>
          <t>https://www.shzfgjj.cn/html/newxxgk/ndbg/208089.html</t>
        </is>
      </c>
    </row>
    <row r="6">
      <c r="A6" t="n">
        <v>2015</v>
      </c>
      <c r="B6" t="inlineStr">
        <is>
          <t>loan_issued_100m</t>
        </is>
      </c>
      <c r="C6" t="n">
        <v>1192.87</v>
      </c>
      <c r="D6" t="inlineStr">
        <is>
          <t>yes</t>
        </is>
      </c>
      <c r="E6" t="inlineStr">
        <is>
          <t>公积金的为60万元）。受委托办理住房公积金个人住房贷款业务的银行共计18家。全年发放个人住房贷款19.96万笔1192.87亿元同比增长64.28%、152.62%</t>
        </is>
      </c>
      <c r="F6" t="inlineStr">
        <is>
          <t>https://www.shzfgjj.cn/html/newxxgk/ndbg/208089.html</t>
        </is>
      </c>
    </row>
    <row r="7">
      <c r="A7" t="n">
        <v>2015</v>
      </c>
      <c r="B7" t="inlineStr">
        <is>
          <t>loan_recovered_100m</t>
        </is>
      </c>
      <c r="C7" t="n">
        <v>362.93</v>
      </c>
      <c r="D7" t="inlineStr">
        <is>
          <t>yes</t>
        </is>
      </c>
      <c r="E7" t="inlineStr">
        <is>
          <t>家。全年发放个人住房贷款19.96万笔1192.87亿元同比增长64.28%、152.62%。回收个人住房贷款362.93亿元。当年因资产证券化转出个人住房贷款额</t>
        </is>
      </c>
      <c r="F7" t="inlineStr">
        <is>
          <t>https://www.shzfgjj.cn/html/newxxgk/ndbg/208089.html</t>
        </is>
      </c>
    </row>
    <row r="8">
      <c r="A8" t="n">
        <v>2015</v>
      </c>
      <c r="B8" t="inlineStr">
        <is>
          <t>loan_balance_100m</t>
        </is>
      </c>
      <c r="C8" t="n">
        <v>2770.08</v>
      </c>
      <c r="D8" t="inlineStr">
        <is>
          <t>yes</t>
        </is>
      </c>
      <c r="E8" t="inlineStr">
        <is>
          <t>人住房贷款额71.86亿元。截至2015年底全市累计发放个人住房贷款215.50万笔5288.23亿元贷款余额2770.08亿元同比增长10.20%、29.13%、</t>
        </is>
      </c>
      <c r="F8" t="inlineStr">
        <is>
          <t>https://www.shzfgjj.cn/html/newxxgk/ndbg/208089.html</t>
        </is>
      </c>
    </row>
    <row r="9">
      <c r="A9" t="n">
        <v>2016</v>
      </c>
      <c r="B9" t="inlineStr">
        <is>
          <t>contributors_10k</t>
        </is>
      </c>
      <c r="C9" t="n">
        <v>764.74</v>
      </c>
      <c r="D9" t="inlineStr">
        <is>
          <t>yes</t>
        </is>
      </c>
      <c r="E9" t="inlineStr">
        <is>
          <t>、业务运行情况（一）缴存：2016年实缴单位31.39万家新开户单位5.20万家净增单位4.39万家；实缴职工764.74万人新开户职工93.33万人净增职工50</t>
        </is>
      </c>
      <c r="F9" t="inlineStr">
        <is>
          <t>https://www.shzfgjj.cn/html/newxxgk/ndbg/208088.html</t>
        </is>
      </c>
    </row>
    <row r="10">
      <c r="A10" t="n">
        <v>2016</v>
      </c>
      <c r="B10" t="inlineStr">
        <is>
          <t>contributions_100m</t>
        </is>
      </c>
      <c r="C10" t="n">
        <v>1018.58</v>
      </c>
      <c r="D10" t="inlineStr">
        <is>
          <t>yes</t>
        </is>
      </c>
      <c r="E10" t="inlineStr">
        <is>
          <t>0万家净增单位4.39万家；实缴职工764.74万人新开户职工93.33万人净增职工50.37万人；当年缴存额1018.58亿元同比增长15.62%。截至2016年</t>
        </is>
      </c>
      <c r="F10" t="inlineStr">
        <is>
          <t>https://www.shzfgjj.cn/html/newxxgk/ndbg/208088.html</t>
        </is>
      </c>
    </row>
    <row r="11">
      <c r="A11" t="n">
        <v>2016</v>
      </c>
      <c r="B11" t="inlineStr">
        <is>
          <t>withdrawals_100m</t>
        </is>
      </c>
      <c r="C11" t="n">
        <v>659.37</v>
      </c>
      <c r="D11" t="inlineStr">
        <is>
          <t>yes</t>
        </is>
      </c>
      <c r="E11" t="inlineStr">
        <is>
          <t>比分别增长16.71%、12.73%。受委托办理住房公积金缴存业务的银行1家。（二）提取：2016年当年提取额659.37亿元同比增长29.17%；占当年缴存额的</t>
        </is>
      </c>
      <c r="F11" t="inlineStr">
        <is>
          <t>https://www.shzfgjj.cn/html/newxxgk/ndbg/208088.html</t>
        </is>
      </c>
    </row>
    <row r="12">
      <c r="A12" t="n">
        <v>2016</v>
      </c>
      <c r="B12" t="inlineStr">
        <is>
          <t>fund_balance_100m</t>
        </is>
      </c>
      <c r="C12" t="n">
        <v>3181.79</v>
      </c>
      <c r="D12" t="inlineStr">
        <is>
          <t>yes</t>
        </is>
      </c>
      <c r="E12" t="inlineStr">
        <is>
          <t>37万人；当年缴存额1018.58亿元同比增长15.62%。截至2016年底缴存总额7115.14亿元缴存余额3181.79亿元同比分别增长16.71%、12.73</t>
        </is>
      </c>
      <c r="F12" t="inlineStr">
        <is>
          <t>https://www.shzfgjj.cn/html/newxxgk/ndbg/208088.html</t>
        </is>
      </c>
    </row>
    <row r="13">
      <c r="A13" t="n">
        <v>2016</v>
      </c>
      <c r="B13" t="inlineStr">
        <is>
          <t>loan_issued_100m</t>
        </is>
      </c>
      <c r="C13" t="n">
        <v>1184.59</v>
      </c>
      <c r="D13" t="inlineStr">
        <is>
          <t>yes</t>
        </is>
      </c>
      <c r="E13" t="inlineStr">
        <is>
          <t>高额度为40万元）缴交补充公积金的为100万元（个人为50万元）。2016年发放个人住房贷款18.30万笔金额1184.59亿元同比降低8.29%、0.69%。20</t>
        </is>
      </c>
      <c r="F13" t="inlineStr">
        <is>
          <t>https://www.shzfgjj.cn/html/newxxgk/ndbg/208088.html</t>
        </is>
      </c>
    </row>
    <row r="14">
      <c r="A14" t="n">
        <v>2016</v>
      </c>
      <c r="B14" t="inlineStr">
        <is>
          <t>loan_recovered_100m</t>
        </is>
      </c>
      <c r="C14" t="n">
        <v>384.88</v>
      </c>
      <c r="D14" t="inlineStr">
        <is>
          <t>yes</t>
        </is>
      </c>
      <c r="E14" t="inlineStr">
        <is>
          <t>发放个人住房贷款18.30万笔金额1184.59亿元同比降低8.29%、0.69%。2016年回收个人住房贷款384.88亿元。当年因资产证券化转出个人住房贷款额</t>
        </is>
      </c>
      <c r="F14" t="inlineStr">
        <is>
          <t>https://www.shzfgjj.cn/html/newxxgk/ndbg/208088.html</t>
        </is>
      </c>
    </row>
    <row r="15">
      <c r="A15" t="n">
        <v>2016</v>
      </c>
      <c r="B15" t="inlineStr">
        <is>
          <t>loan_balance_100m</t>
        </is>
      </c>
      <c r="C15" t="n">
        <v>3257.77</v>
      </c>
      <c r="D15" t="inlineStr">
        <is>
          <t>yes</t>
        </is>
      </c>
      <c r="E15" t="inlineStr">
        <is>
          <t>住房贷款额312.02亿元。截至2016年底累计发放个人住房贷款233.81万笔金额6472.82亿元贷款余额3257.77亿元同比分别增长8.50%、22.40%</t>
        </is>
      </c>
      <c r="F15" t="inlineStr">
        <is>
          <t>https://www.shzfgjj.cn/html/newxxgk/ndbg/208088.html</t>
        </is>
      </c>
    </row>
    <row r="16">
      <c r="A16" t="n">
        <v>2017</v>
      </c>
      <c r="B16" t="inlineStr">
        <is>
          <t>contributors_10k</t>
        </is>
      </c>
      <c r="C16" t="n">
        <v>809.91</v>
      </c>
      <c r="D16" t="inlineStr">
        <is>
          <t>yes</t>
        </is>
      </c>
      <c r="E16" t="inlineStr">
        <is>
          <t>：2017年新开户单位5.26万家实缴单位35.24万家净增单位3.85万家；新开户职工95.41万人实缴职工809.91万人净增职工45.18万人；缴存额113</t>
        </is>
      </c>
      <c r="F16" t="inlineStr">
        <is>
          <t>https://www.shzfgjj.cn/html/newxxgk/ndbg/208087.html</t>
        </is>
      </c>
    </row>
    <row r="17">
      <c r="A17" t="n">
        <v>2017</v>
      </c>
      <c r="B17" t="inlineStr">
        <is>
          <t>contributions_100m</t>
        </is>
      </c>
      <c r="C17" t="n">
        <v>1133.69</v>
      </c>
      <c r="D17" t="inlineStr">
        <is>
          <t>yes</t>
        </is>
      </c>
      <c r="E17" t="inlineStr">
        <is>
          <t>.24万家净增单位3.85万家；新开户职工95.41万人实缴职工809.91万人净增职工45.18万人；缴存额1133.69亿元同比增长11.30%。2017年末缴</t>
        </is>
      </c>
      <c r="F17" t="inlineStr">
        <is>
          <t>https://www.shzfgjj.cn/html/newxxgk/ndbg/208087.html</t>
        </is>
      </c>
    </row>
    <row r="18">
      <c r="A18" t="n">
        <v>2017</v>
      </c>
      <c r="B18" t="inlineStr">
        <is>
          <t>withdrawals_100m</t>
        </is>
      </c>
      <c r="C18" t="n">
        <v>737.09</v>
      </c>
      <c r="D18" t="inlineStr">
        <is>
          <t>yes</t>
        </is>
      </c>
      <c r="E18" t="inlineStr">
        <is>
          <t>托办理住房公积金缴存业务的银行1家。图1：2013-2017年缴存额情况单位：亿元（二）提取：2017年提取额737.09亿元同比增长11.79%；占当年缴存额的</t>
        </is>
      </c>
      <c r="F18" t="inlineStr">
        <is>
          <t>https://www.shzfgjj.cn/html/newxxgk/ndbg/208087.html</t>
        </is>
      </c>
    </row>
    <row r="19">
      <c r="A19" t="n">
        <v>2017</v>
      </c>
      <c r="B19" t="inlineStr">
        <is>
          <t>fund_balance_100m</t>
        </is>
      </c>
      <c r="C19" t="n">
        <v>3578.39</v>
      </c>
      <c r="D19" t="inlineStr">
        <is>
          <t>yes</t>
        </is>
      </c>
      <c r="E19" t="inlineStr">
        <is>
          <t>额1133.69亿元同比增长11.30%。2017年末缴存总额8248.83亿元同比增长15.93%；缴存余额3578.39亿元同比增长12.46%。受委托办理住房</t>
        </is>
      </c>
      <c r="F19" t="inlineStr">
        <is>
          <t>https://www.shzfgjj.cn/html/newxxgk/ndbg/208087.html</t>
        </is>
      </c>
    </row>
    <row r="20">
      <c r="A20" t="n">
        <v>2017</v>
      </c>
      <c r="B20" t="inlineStr">
        <is>
          <t>loan_issued_100m</t>
        </is>
      </c>
      <c r="C20" t="n">
        <v>586.28</v>
      </c>
      <c r="D20" t="inlineStr">
        <is>
          <t>yes</t>
        </is>
      </c>
      <c r="E20" t="inlineStr">
        <is>
          <t>为40万元）缴交补充公积金的最高贷款额度为100万元（个人为50万元）。2017年发放个人住房贷款9.28万笔586.28亿元（含贴息贷款置换1.54万笔103.</t>
        </is>
      </c>
      <c r="F20" t="inlineStr">
        <is>
          <t>https://www.shzfgjj.cn/html/newxxgk/ndbg/208087.html</t>
        </is>
      </c>
    </row>
    <row r="21">
      <c r="A21" t="n">
        <v>2017</v>
      </c>
      <c r="B21" t="inlineStr">
        <is>
          <t>loan_recovered_100m</t>
        </is>
      </c>
      <c r="C21" t="n">
        <v>313.03</v>
      </c>
      <c r="D21" t="inlineStr">
        <is>
          <t>yes</t>
        </is>
      </c>
      <c r="E21" t="inlineStr">
        <is>
          <t>.28亿元（含贴息贷款置换1.54万笔103.5亿元）同比分别下降49.29%、50.51%；回收个人住房贷款313.03亿元。2017年末累计发放个人住房贷款2</t>
        </is>
      </c>
      <c r="F21" t="inlineStr">
        <is>
          <t>https://www.shzfgjj.cn/html/newxxgk/ndbg/208087.html</t>
        </is>
      </c>
    </row>
    <row r="22">
      <c r="A22" t="n">
        <v>2017</v>
      </c>
      <c r="B22" t="inlineStr">
        <is>
          <t>loan_balance_100m</t>
        </is>
      </c>
      <c r="C22" t="n">
        <v>3531.01</v>
      </c>
      <c r="D22" t="inlineStr">
        <is>
          <t>yes</t>
        </is>
      </c>
      <c r="E22" t="inlineStr">
        <is>
          <t>；回收个人住房贷款313.03亿元。2017年末累计发放个人住房贷款243.09万笔7059.11亿元贷款余额3531.01亿元同比分别增长3.97%、9.06%、</t>
        </is>
      </c>
      <c r="F22" t="inlineStr">
        <is>
          <t>https://www.shzfgjj.cn/html/newxxgk/ndbg/208087.html</t>
        </is>
      </c>
    </row>
    <row r="23">
      <c r="A23" t="n">
        <v>2018</v>
      </c>
      <c r="B23" t="inlineStr">
        <is>
          <t>contributors_10k</t>
        </is>
      </c>
      <c r="C23" t="n">
        <v>861.21</v>
      </c>
      <c r="D23" t="inlineStr">
        <is>
          <t>yes</t>
        </is>
      </c>
      <c r="E23" t="inlineStr">
        <is>
          <t>2018年新开户单位5.66万家实缴单位39.31万家净增单位4.07万家；新开户职工100.17万人实缴职工861.21万人净增职工51.30万人；缴存额130</t>
        </is>
      </c>
      <c r="F23" t="inlineStr">
        <is>
          <t>https://www.shzfgjj.cn/html/newxxgk/ndbg/208086.html</t>
        </is>
      </c>
    </row>
    <row r="24">
      <c r="A24" t="n">
        <v>2018</v>
      </c>
      <c r="B24" t="inlineStr">
        <is>
          <t>contributions_100m</t>
        </is>
      </c>
      <c r="C24" t="n">
        <v>1305.2</v>
      </c>
      <c r="D24" t="inlineStr">
        <is>
          <t>yes</t>
        </is>
      </c>
      <c r="E24" t="inlineStr">
        <is>
          <t>31万家净增单位4.07万家；新开户职工100.17万人实缴职工861.21万人净增职工51.30万人；缴存额1305.20亿元同比增长15.13%。2018年末缴</t>
        </is>
      </c>
      <c r="F24" t="inlineStr">
        <is>
          <t>https://www.shzfgjj.cn/html/newxxgk/ndbg/208086.html</t>
        </is>
      </c>
    </row>
    <row r="25">
      <c r="A25" t="n">
        <v>2018</v>
      </c>
      <c r="B25" t="inlineStr">
        <is>
          <t>withdrawals_100m</t>
        </is>
      </c>
      <c r="C25" t="n">
        <v>788.96</v>
      </c>
      <c r="D25" t="inlineStr">
        <is>
          <t>yes</t>
        </is>
      </c>
      <c r="E25" t="inlineStr">
        <is>
          <t>托办理住房公积金缴存业务的银行1家。图1：2014-2018年缴存额情况单位：亿元（二）提取：2018年提取额788.96亿元同比增长7.04%；占当年缴存额的6</t>
        </is>
      </c>
      <c r="F25" t="inlineStr">
        <is>
          <t>https://www.shzfgjj.cn/html/newxxgk/ndbg/208086.html</t>
        </is>
      </c>
    </row>
    <row r="26">
      <c r="A26" t="n">
        <v>2018</v>
      </c>
      <c r="B26" t="inlineStr">
        <is>
          <t>fund_balance_100m</t>
        </is>
      </c>
      <c r="C26" t="n">
        <v>4094.62</v>
      </c>
      <c r="D26" t="inlineStr">
        <is>
          <t>yes</t>
        </is>
      </c>
      <c r="E26" t="inlineStr">
        <is>
          <t>额1305.20亿元同比增长15.13%。2018年末缴存总额9554.03亿元同比增长15.82%；缴存余额4094.62亿元同比增长14.43%。受委托办理住房</t>
        </is>
      </c>
      <c r="F26" t="inlineStr">
        <is>
          <t>https://www.shzfgjj.cn/html/newxxgk/ndbg/208086.html</t>
        </is>
      </c>
    </row>
    <row r="27">
      <c r="A27" t="n">
        <v>2018</v>
      </c>
      <c r="B27" t="inlineStr">
        <is>
          <t>loan_issued_100m</t>
        </is>
      </c>
      <c r="C27" t="n">
        <v>729.6799999999999</v>
      </c>
      <c r="D27" t="inlineStr">
        <is>
          <t>yes</t>
        </is>
      </c>
      <c r="E27" t="inlineStr">
        <is>
          <t>40万元）缴交补充公积金的最高贷款额度为100万元（个人为50万元）。2018年发放个人住房贷款11.07万笔729.68亿元(含贴息贷款置换2.61万笔166.</t>
        </is>
      </c>
      <c r="F27" t="inlineStr">
        <is>
          <t>https://www.shzfgjj.cn/html/newxxgk/ndbg/208086.html</t>
        </is>
      </c>
    </row>
    <row r="28">
      <c r="A28" t="n">
        <v>2018</v>
      </c>
      <c r="B28" t="inlineStr">
        <is>
          <t>loan_recovered_100m</t>
        </is>
      </c>
      <c r="C28" t="n">
        <v>338.74</v>
      </c>
      <c r="D28" t="inlineStr">
        <is>
          <t>yes</t>
        </is>
      </c>
      <c r="E28" t="inlineStr">
        <is>
          <t>68亿元(含贴息贷款置换2.61万笔166.58亿元)同比分别增长19.29%、24.46%；回收个人住房贷款338.74亿元。2018年末累计发放个人住房贷款2</t>
        </is>
      </c>
      <c r="F28" t="inlineStr">
        <is>
          <t>https://www.shzfgjj.cn/html/newxxgk/ndbg/208086.html</t>
        </is>
      </c>
    </row>
    <row r="29">
      <c r="A29" t="n">
        <v>2018</v>
      </c>
      <c r="B29" t="inlineStr">
        <is>
          <t>loan_balance_100m</t>
        </is>
      </c>
      <c r="C29" t="n">
        <v>3921.96</v>
      </c>
      <c r="D29" t="inlineStr">
        <is>
          <t>yes</t>
        </is>
      </c>
      <c r="E29" t="inlineStr">
        <is>
          <t>；回收个人住房贷款338.74亿元。2018年末累计发放个人住房贷款254.15万笔7788.78亿元贷款余额3921.96亿元同比分别增长4.55%、10.34%</t>
        </is>
      </c>
      <c r="F29" t="inlineStr">
        <is>
          <t>https://www.shzfgjj.cn/html/newxxgk/ndbg/208086.html</t>
        </is>
      </c>
    </row>
    <row r="30">
      <c r="A30" t="n">
        <v>2019</v>
      </c>
      <c r="B30" t="inlineStr">
        <is>
          <t>contributors_10k</t>
        </is>
      </c>
      <c r="C30" t="n">
        <v>882.78</v>
      </c>
      <c r="D30" t="inlineStr">
        <is>
          <t>yes</t>
        </is>
      </c>
      <c r="E30" t="inlineStr">
        <is>
          <t>：2019年新开户单位5.45万家实缴单位42.67万家净增单位3.36万家；新开户职工84.08万人实缴职工882.78万人净增职工21.57万人；缴存额153</t>
        </is>
      </c>
      <c r="F30" t="inlineStr">
        <is>
          <t>https://www.shzfgjj.cn/html/newxxgk/ndbg/208085.html</t>
        </is>
      </c>
    </row>
    <row r="31">
      <c r="A31" t="n">
        <v>2019</v>
      </c>
      <c r="B31" t="inlineStr">
        <is>
          <t>contributions_100m</t>
        </is>
      </c>
      <c r="C31" t="n">
        <v>1533.57</v>
      </c>
      <c r="D31" t="inlineStr">
        <is>
          <t>yes</t>
        </is>
      </c>
      <c r="E31" t="inlineStr">
        <is>
          <t>.67万家净增单位3.36万家；新开户职工84.08万人实缴职工882.78万人净增职工21.57万人；缴存额1533.57亿元同比增长17.50%。2019年末缴</t>
        </is>
      </c>
      <c r="F31" t="inlineStr">
        <is>
          <t>https://www.shzfgjj.cn/html/newxxgk/ndbg/208085.html</t>
        </is>
      </c>
    </row>
    <row r="32">
      <c r="A32" t="n">
        <v>2019</v>
      </c>
      <c r="B32" t="inlineStr">
        <is>
          <t>withdrawals_100m</t>
        </is>
      </c>
      <c r="C32" t="n">
        <v>907.0599999999999</v>
      </c>
      <c r="D32" t="inlineStr">
        <is>
          <t>yes</t>
        </is>
      </c>
      <c r="E32" t="inlineStr">
        <is>
          <t>0%。受委托办理住房公积金缴存业务的银行1家。图1：2015-2019年缴存额情况（二）提取：2019年提取额907.06亿元同比增长14.97%；占当年缴存额的</t>
        </is>
      </c>
      <c r="F32" t="inlineStr">
        <is>
          <t>https://www.shzfgjj.cn/html/newxxgk/ndbg/208085.html</t>
        </is>
      </c>
    </row>
    <row r="33">
      <c r="A33" t="n">
        <v>2019</v>
      </c>
      <c r="B33" t="inlineStr">
        <is>
          <t>fund_balance_100m</t>
        </is>
      </c>
      <c r="C33" t="n">
        <v>4721.13</v>
      </c>
      <c r="D33" t="inlineStr">
        <is>
          <t>yes</t>
        </is>
      </c>
      <c r="E33" t="inlineStr">
        <is>
          <t>533.57亿元同比增长17.50%。2019年末缴存总额11087.60亿元比上年增长16.05%；缴存余额4721.13亿元比上年增长15.30%。受委托办理住</t>
        </is>
      </c>
      <c r="F33" t="inlineStr">
        <is>
          <t>https://www.shzfgjj.cn/html/newxxgk/ndbg/208085.html</t>
        </is>
      </c>
    </row>
    <row r="34">
      <c r="A34" t="n">
        <v>2019</v>
      </c>
      <c r="B34" t="inlineStr">
        <is>
          <t>loan_issued_100m</t>
        </is>
      </c>
      <c r="C34" t="n">
        <v>939.1799999999999</v>
      </c>
      <c r="D34" t="inlineStr">
        <is>
          <t>yes</t>
        </is>
      </c>
      <c r="E34" t="inlineStr">
        <is>
          <t>40万元）缴交补充公积金的最高贷款额度为100万元（个人为50万元）。2019年发放个人住房贷款14.08万笔939.18亿元(含贴息贷款置换0.99万笔50.3</t>
        </is>
      </c>
      <c r="F34" t="inlineStr">
        <is>
          <t>https://www.shzfgjj.cn/html/newxxgk/ndbg/208085.html</t>
        </is>
      </c>
    </row>
    <row r="35">
      <c r="A35" t="n">
        <v>2019</v>
      </c>
      <c r="B35" t="inlineStr">
        <is>
          <t>loan_recovered_100m</t>
        </is>
      </c>
      <c r="C35" t="n">
        <v>411.08</v>
      </c>
      <c r="D35" t="inlineStr">
        <is>
          <t>yes</t>
        </is>
      </c>
      <c r="E35" t="inlineStr">
        <is>
          <t>.18亿元(含贴息贷款置换0.99万笔50.36亿元)同比分别增长27.19%、28.71%；回收个人住房贷款411.08亿元。2019年末累计发放个人住房贷款2</t>
        </is>
      </c>
      <c r="F35" t="inlineStr">
        <is>
          <t>https://www.shzfgjj.cn/html/newxxgk/ndbg/208085.html</t>
        </is>
      </c>
    </row>
    <row r="36">
      <c r="A36" t="n">
        <v>2019</v>
      </c>
      <c r="B36" t="inlineStr">
        <is>
          <t>loan_balance_100m</t>
        </is>
      </c>
      <c r="C36" t="n">
        <v>4450.05</v>
      </c>
      <c r="D36" t="inlineStr">
        <is>
          <t>yes</t>
        </is>
      </c>
      <c r="E36" t="inlineStr">
        <is>
          <t>；回收个人住房贷款411.08亿元。2019年末累计发放个人住房贷款268.24万笔8727.96亿元贷款余额4450.05亿元分别比上年增长5.54%、12.06</t>
        </is>
      </c>
      <c r="F36" t="inlineStr">
        <is>
          <t>https://www.shzfgjj.cn/html/newxxgk/ndbg/208085.html</t>
        </is>
      </c>
    </row>
    <row r="37">
      <c r="A37" t="n">
        <v>2020</v>
      </c>
      <c r="B37" t="inlineStr">
        <is>
          <t>contributors_10k</t>
        </is>
      </c>
      <c r="C37" t="n">
        <v>884.33</v>
      </c>
      <c r="D37" t="inlineStr">
        <is>
          <t>yes</t>
        </is>
      </c>
      <c r="E37" t="inlineStr">
        <is>
          <t>5.18万家净增单位2.48万家；新开户职工68.50万人净增职工1.55万人；实缴单位45.15万家实缴职工884.33万人缴存额1687.39亿元同比分别增长</t>
        </is>
      </c>
      <c r="F37" t="inlineStr">
        <is>
          <t>https://www.shzfgjj.cn/html/zyxw/209278.html</t>
        </is>
      </c>
    </row>
    <row r="38">
      <c r="A38" t="n">
        <v>2020</v>
      </c>
      <c r="B38" t="inlineStr">
        <is>
          <t>contributions_100m</t>
        </is>
      </c>
      <c r="C38" t="n">
        <v>1687.39</v>
      </c>
      <c r="D38" t="inlineStr">
        <is>
          <t>yes</t>
        </is>
      </c>
      <c r="E38" t="inlineStr">
        <is>
          <t>.48万家；新开户职工68.50万人净增职工1.55万人；实缴单位45.15万家实缴职工884.33万人缴存额1687.39亿元同比分别增长5.81%、0.18%和</t>
        </is>
      </c>
      <c r="F38" t="inlineStr">
        <is>
          <t>https://www.shzfgjj.cn/html/zyxw/209278.html</t>
        </is>
      </c>
    </row>
    <row r="39">
      <c r="A39" t="n">
        <v>2020</v>
      </c>
      <c r="B39" t="inlineStr">
        <is>
          <t>withdrawals_100m</t>
        </is>
      </c>
      <c r="C39" t="n">
        <v>1046.75</v>
      </c>
      <c r="D39" t="inlineStr">
        <is>
          <t>yes</t>
        </is>
      </c>
      <c r="E39" t="inlineStr">
        <is>
          <t>1家。图1：2016-2020年缴存额情况（二）提取：2020年339.16万名缴存职工提取住房公积金；提取额1046.75亿元同比增长15.40%；提取额占当年缴</t>
        </is>
      </c>
      <c r="F39" t="inlineStr">
        <is>
          <t>https://www.shzfgjj.cn/html/zyxw/209278.html</t>
        </is>
      </c>
    </row>
    <row r="40">
      <c r="A40" t="n">
        <v>2020</v>
      </c>
      <c r="B40" t="inlineStr">
        <is>
          <t>fund_balance_100m</t>
        </is>
      </c>
      <c r="C40" t="n">
        <v>5361.77</v>
      </c>
      <c r="D40" t="inlineStr">
        <is>
          <t>yes</t>
        </is>
      </c>
      <c r="E40" t="inlineStr">
        <is>
          <t>5.81%、0.18%和10.03%。2020年末缴存总额12774.99亿元比上年增长15.22%；缴存余额5361.77亿元同比增长13.57%。受委托办理住房</t>
        </is>
      </c>
      <c r="F40" t="inlineStr">
        <is>
          <t>https://www.shzfgjj.cn/html/zyxw/209278.html</t>
        </is>
      </c>
    </row>
    <row r="41">
      <c r="A41" t="n">
        <v>2020</v>
      </c>
      <c r="B41" t="inlineStr">
        <is>
          <t>loan_issued_100m</t>
        </is>
      </c>
      <c r="C41" t="n">
        <v>1029.18</v>
      </c>
      <c r="D41" t="inlineStr">
        <is>
          <t>yes</t>
        </is>
      </c>
      <c r="E41" t="inlineStr">
        <is>
          <t>40万元）缴交补充公积金的最高贷款额度为100万元（个人为50万元）。2020年发放个人住房贷款15.08万笔1029.18亿元（含贴息贷款置换0.01万笔0.58</t>
        </is>
      </c>
      <c r="F41" t="inlineStr">
        <is>
          <t>https://www.shzfgjj.cn/html/zyxw/209278.html</t>
        </is>
      </c>
    </row>
    <row r="42">
      <c r="A42" t="n">
        <v>2020</v>
      </c>
      <c r="B42" t="inlineStr">
        <is>
          <t>loan_recovered_100m</t>
        </is>
      </c>
      <c r="C42" t="n">
        <v>500.48</v>
      </c>
      <c r="D42" t="inlineStr">
        <is>
          <t>yes</t>
        </is>
      </c>
      <c r="E42" t="inlineStr">
        <is>
          <t>029.18亿元（含贴息贷款置换0.01万笔0.58亿元）同比分别增长7.10%、9.58%；回收个人住房贷款500.48亿元。2020年末累计发放个人住房贷款2</t>
        </is>
      </c>
      <c r="F42" t="inlineStr">
        <is>
          <t>https://www.shzfgjj.cn/html/zyxw/209278.html</t>
        </is>
      </c>
    </row>
    <row r="43">
      <c r="A43" t="n">
        <v>2020</v>
      </c>
      <c r="B43" t="inlineStr">
        <is>
          <t>loan_balance_100m</t>
        </is>
      </c>
      <c r="C43" t="n">
        <v>4978.75</v>
      </c>
      <c r="D43" t="inlineStr">
        <is>
          <t>yes</t>
        </is>
      </c>
      <c r="E43" t="inlineStr">
        <is>
          <t>；回收个人住房贷款500.48亿元。2020年末累计发放个人住房贷款283.32万笔9757.14亿元贷款余额4978.75亿元分别比上年增长5.62%、11.79</t>
        </is>
      </c>
      <c r="F43" t="inlineStr">
        <is>
          <t>https://www.shzfgjj.cn/html/zyxw/209278.html</t>
        </is>
      </c>
    </row>
    <row r="44">
      <c r="A44" t="n">
        <v>2021</v>
      </c>
      <c r="B44" t="inlineStr">
        <is>
          <t>contributors_10k</t>
        </is>
      </c>
      <c r="C44" t="n">
        <v>925.05</v>
      </c>
      <c r="D44" t="inlineStr">
        <is>
          <t>yes</t>
        </is>
      </c>
      <c r="E44" t="inlineStr">
        <is>
          <t>.29万家净增单位4.69万家；新开户职工89.08万人净增职工40.72万人；实缴单位49.84万家实缴职工925.05万人缴存额1943.10亿元同比分别增长</t>
        </is>
      </c>
      <c r="F44" t="inlineStr">
        <is>
          <t>https://www.shzfgjj.cn/html/newxxgk/ndbg/209227.html</t>
        </is>
      </c>
    </row>
    <row r="45">
      <c r="A45" t="n">
        <v>2021</v>
      </c>
      <c r="B45" t="inlineStr">
        <is>
          <t>contributions_100m</t>
        </is>
      </c>
      <c r="C45" t="n">
        <v>1943.1</v>
      </c>
      <c r="D45" t="inlineStr">
        <is>
          <t>yes</t>
        </is>
      </c>
      <c r="E45" t="inlineStr">
        <is>
          <t>69万家；新开户职工89.08万人净增职工40.72万人；实缴单位49.84万家实缴职工925.05万人缴存额1943.10亿元同比分别增长10.39%、4.60%</t>
        </is>
      </c>
      <c r="F45" t="inlineStr">
        <is>
          <t>https://www.shzfgjj.cn/html/newxxgk/ndbg/209227.html</t>
        </is>
      </c>
    </row>
    <row r="46">
      <c r="A46" t="n">
        <v>2021</v>
      </c>
      <c r="B46" t="inlineStr">
        <is>
          <t>withdrawals_100m</t>
        </is>
      </c>
      <c r="C46" t="n">
        <v>1236.24</v>
      </c>
      <c r="D46" t="inlineStr">
        <is>
          <t>yes</t>
        </is>
      </c>
      <c r="E46" t="inlineStr">
        <is>
          <t>1家。图1：2017-2021年缴存额情况（二）提取：2021年360.43万名缴存职工提取住房公积金；提取额1236.24亿元同比增长18.10%；提取额占当年缴</t>
        </is>
      </c>
      <c r="F46" t="inlineStr">
        <is>
          <t>https://www.shzfgjj.cn/html/newxxgk/ndbg/209227.html</t>
        </is>
      </c>
    </row>
    <row r="47">
      <c r="A47" t="n">
        <v>2021</v>
      </c>
      <c r="B47" t="inlineStr">
        <is>
          <t>fund_balance_100m</t>
        </is>
      </c>
      <c r="C47" t="n">
        <v>6068.64</v>
      </c>
      <c r="D47" t="inlineStr">
        <is>
          <t>yes</t>
        </is>
      </c>
      <c r="E47" t="inlineStr">
        <is>
          <t>0.39%、4.60%和15.15%。2021年末缴存总额14718.10亿元比上年增长15.21%；缴存余额6068.64亿元同比增长13.18%。受委托办理住房</t>
        </is>
      </c>
      <c r="F47" t="inlineStr">
        <is>
          <t>https://www.shzfgjj.cn/html/newxxgk/ndbg/209227.html</t>
        </is>
      </c>
    </row>
    <row r="48">
      <c r="A48" t="n">
        <v>2021</v>
      </c>
      <c r="B48" t="inlineStr">
        <is>
          <t>loan_issued_100m</t>
        </is>
      </c>
      <c r="C48" t="n">
        <v>1151.65</v>
      </c>
      <c r="D48" t="inlineStr">
        <is>
          <t>yes</t>
        </is>
      </c>
      <c r="E48" t="inlineStr">
        <is>
          <t>40万元）缴交补充公积金的最高贷款额度为100万元（个人为50万元）。2021年发放个人住房贷款16.50万笔1151.65亿元同比分别增长9.42%、11.90%</t>
        </is>
      </c>
      <c r="F48" t="inlineStr">
        <is>
          <t>https://www.shzfgjj.cn/html/newxxgk/ndbg/209227.html</t>
        </is>
      </c>
    </row>
    <row r="49">
      <c r="A49" t="n">
        <v>2021</v>
      </c>
      <c r="B49" t="inlineStr">
        <is>
          <t>loan_recovered_100m</t>
        </is>
      </c>
      <c r="C49" t="n">
        <v>549.53</v>
      </c>
      <c r="D49" t="inlineStr">
        <is>
          <t>yes</t>
        </is>
      </c>
      <c r="E49" t="inlineStr">
        <is>
          <t>放个人住房贷款16.50万笔1151.65亿元同比分别增长9.42%、11.90%。2021年回收个人住房贷款549.53亿元。2021年末累计发放个人住房贷款2</t>
        </is>
      </c>
      <c r="F49" t="inlineStr">
        <is>
          <t>https://www.shzfgjj.cn/html/newxxgk/ndbg/209227.html</t>
        </is>
      </c>
    </row>
    <row r="50">
      <c r="A50" t="n">
        <v>2021</v>
      </c>
      <c r="B50" t="inlineStr">
        <is>
          <t>loan_balance_100m</t>
        </is>
      </c>
      <c r="C50" t="n">
        <v>5580.86</v>
      </c>
      <c r="D50" t="inlineStr">
        <is>
          <t>yes</t>
        </is>
      </c>
      <c r="E50" t="inlineStr">
        <is>
          <t>回收个人住房贷款549.53亿元。2021年末累计发放个人住房贷款299.82万笔10908.78亿元贷款余额5580.86亿元分别比上年增长5.82%、11.80</t>
        </is>
      </c>
      <c r="F50" t="inlineStr">
        <is>
          <t>https://www.shzfgjj.cn/html/newxxgk/ndbg/209227.html</t>
        </is>
      </c>
    </row>
    <row r="51">
      <c r="A51" t="n">
        <v>2022</v>
      </c>
      <c r="B51" t="inlineStr">
        <is>
          <t>contributors_10k</t>
        </is>
      </c>
      <c r="C51" t="n">
        <v>936.2</v>
      </c>
      <c r="D51" t="inlineStr">
        <is>
          <t>yes</t>
        </is>
      </c>
      <c r="E51" t="inlineStr">
        <is>
          <t>.75万家净增单位2.29万家；新开户职工70.61万人净增职工11.15万人；实缴单位52.13万家实缴职工936.20万人缴存额2227.22亿元同比分别增长</t>
        </is>
      </c>
      <c r="F51" t="inlineStr">
        <is>
          <t>https://www.shzfgjj.cn/html/newxxgk/ndbg/213689.html</t>
        </is>
      </c>
    </row>
    <row r="52">
      <c r="A52" t="n">
        <v>2022</v>
      </c>
      <c r="B52" t="inlineStr">
        <is>
          <t>contributions_100m</t>
        </is>
      </c>
      <c r="C52" t="n">
        <v>2227.22</v>
      </c>
      <c r="D52" t="inlineStr">
        <is>
          <t>yes</t>
        </is>
      </c>
      <c r="E52" t="inlineStr">
        <is>
          <t>29万家；新开户职工70.61万人净增职工11.15万人；实缴单位52.13万家实缴职工936.20万人缴存额2227.22亿元同比分别增长4.59%、1.21%和</t>
        </is>
      </c>
      <c r="F52" t="inlineStr">
        <is>
          <t>https://www.shzfgjj.cn/html/newxxgk/ndbg/213689.html</t>
        </is>
      </c>
    </row>
    <row r="53">
      <c r="A53" t="n">
        <v>2022</v>
      </c>
      <c r="B53" t="inlineStr">
        <is>
          <t>withdrawals_100m</t>
        </is>
      </c>
      <c r="C53" t="n">
        <v>1379.44</v>
      </c>
      <c r="D53" t="inlineStr">
        <is>
          <t>yes</t>
        </is>
      </c>
      <c r="E53" t="inlineStr">
        <is>
          <t>1家。图1：2018-2022年缴存额情况（二）提取：2022年381.25万名缴存职工提取住房公积金；提取额1379.44亿元同比增长11.58%；提取额占当年缴</t>
        </is>
      </c>
      <c r="F53" t="inlineStr">
        <is>
          <t>https://www.shzfgjj.cn/html/newxxgk/ndbg/213689.html</t>
        </is>
      </c>
    </row>
    <row r="54">
      <c r="A54" t="n">
        <v>2022</v>
      </c>
      <c r="B54" t="inlineStr">
        <is>
          <t>fund_balance_100m</t>
        </is>
      </c>
      <c r="C54" t="n">
        <v>6916.42</v>
      </c>
      <c r="D54" t="inlineStr">
        <is>
          <t>yes</t>
        </is>
      </c>
      <c r="E54" t="inlineStr">
        <is>
          <t>4.59%、1.21%和14.62%。2022年末缴存总额16945.31亿元比上年增长15.13%；缴存余额6916.42亿元同比增长13.97%。受委托办理住房</t>
        </is>
      </c>
      <c r="F54" t="inlineStr">
        <is>
          <t>https://www.shzfgjj.cn/html/newxxgk/ndbg/213689.html</t>
        </is>
      </c>
    </row>
    <row r="55">
      <c r="A55" t="n">
        <v>2022</v>
      </c>
      <c r="B55" t="inlineStr">
        <is>
          <t>loan_issued_100m</t>
        </is>
      </c>
      <c r="C55" t="n">
        <v>842.76</v>
      </c>
      <c r="D55" t="inlineStr">
        <is>
          <t>yes</t>
        </is>
      </c>
      <c r="E55" t="inlineStr">
        <is>
          <t>40万元）缴交补充公积金的最高贷款额度为100万元（个人为50万元）。2022年发放个人住房贷款11.30万笔842.76亿元同比分别下降31.52%、26.82</t>
        </is>
      </c>
      <c r="F55" t="inlineStr">
        <is>
          <t>https://www.shzfgjj.cn/html/newxxgk/ndbg/213689.html</t>
        </is>
      </c>
    </row>
    <row r="56">
      <c r="A56" t="n">
        <v>2022</v>
      </c>
      <c r="B56" t="inlineStr">
        <is>
          <t>loan_recovered_100m</t>
        </is>
      </c>
      <c r="C56" t="n">
        <v>551.37</v>
      </c>
      <c r="D56" t="inlineStr">
        <is>
          <t>yes</t>
        </is>
      </c>
      <c r="E56" t="inlineStr">
        <is>
          <t>放个人住房贷款11.30万笔842.76亿元同比分别下降31.52%、26.82%。2022年回收个人住房贷款551.37亿元。2022年末累计发放个人住房贷款3</t>
        </is>
      </c>
      <c r="F56" t="inlineStr">
        <is>
          <t>https://www.shzfgjj.cn/html/newxxgk/ndbg/213689.html</t>
        </is>
      </c>
    </row>
    <row r="57">
      <c r="A57" t="n">
        <v>2022</v>
      </c>
      <c r="B57" t="inlineStr">
        <is>
          <t>loan_balance_100m</t>
        </is>
      </c>
      <c r="C57" t="n">
        <v>5872.25</v>
      </c>
      <c r="D57" t="inlineStr">
        <is>
          <t>yes</t>
        </is>
      </c>
      <c r="E57" t="inlineStr">
        <is>
          <t>回收个人住房贷款551.37亿元。2022年末累计发放个人住房贷款311.12万笔11751.55亿元贷款余额5872.25亿元分别比上年增长3.77%、7.73%</t>
        </is>
      </c>
      <c r="F57" t="inlineStr">
        <is>
          <t>https://www.shzfgjj.cn/html/newxxgk/ndbg/213689.html</t>
        </is>
      </c>
    </row>
    <row r="58">
      <c r="A58" t="n">
        <v>2023</v>
      </c>
      <c r="B58" t="inlineStr">
        <is>
          <t>contributors_10k</t>
        </is>
      </c>
      <c r="C58" t="n">
        <v>944.26</v>
      </c>
      <c r="D58" t="inlineStr">
        <is>
          <t>yes</t>
        </is>
      </c>
      <c r="E58" t="inlineStr">
        <is>
          <t>7.05万家净增单位3.88万家；新开户职工71.22万人净增职工8.06万人；实缴单位56.01万家实缴职工944.26万人缴存额2473.10亿元同比分别增长</t>
        </is>
      </c>
      <c r="F58" t="inlineStr">
        <is>
          <t>https://www.shzfgjj.cn/html/newxxgk/ndbg/220229.html</t>
        </is>
      </c>
    </row>
    <row r="59">
      <c r="A59" t="n">
        <v>2023</v>
      </c>
      <c r="B59" t="inlineStr">
        <is>
          <t>contributions_100m</t>
        </is>
      </c>
      <c r="C59" t="n">
        <v>2473.1</v>
      </c>
      <c r="D59" t="inlineStr">
        <is>
          <t>yes</t>
        </is>
      </c>
      <c r="E59" t="inlineStr">
        <is>
          <t>.88万家；新开户职工71.22万人净增职工8.06万人；实缴单位56.01万家实缴职工944.26万人缴存额2473.10亿元同比分别增长7.44%、0.86%和</t>
        </is>
      </c>
      <c r="F59" t="inlineStr">
        <is>
          <t>https://www.shzfgjj.cn/html/newxxgk/ndbg/220229.html</t>
        </is>
      </c>
    </row>
    <row r="60">
      <c r="A60" t="n">
        <v>2023</v>
      </c>
      <c r="B60" t="inlineStr">
        <is>
          <t>withdrawals_100m</t>
        </is>
      </c>
      <c r="C60" t="n">
        <v>1644.51</v>
      </c>
      <c r="D60" t="inlineStr">
        <is>
          <t>yes</t>
        </is>
      </c>
      <c r="E60" t="inlineStr">
        <is>
          <t>1家。图1：2019-2023年缴存额情况（二）提取：2023年400.40万名缴存职工提取住房公积金；提取额1644.51亿元同比增长19.22%；提取额占当年缴</t>
        </is>
      </c>
      <c r="F60" t="inlineStr">
        <is>
          <t>https://www.shzfgjj.cn/html/newxxgk/ndbg/220229.html</t>
        </is>
      </c>
    </row>
    <row r="61">
      <c r="A61" t="n">
        <v>2023</v>
      </c>
      <c r="B61" t="inlineStr">
        <is>
          <t>fund_balance_100m</t>
        </is>
      </c>
      <c r="C61" t="n">
        <v>7745.01</v>
      </c>
      <c r="D61" t="inlineStr">
        <is>
          <t>yes</t>
        </is>
      </c>
      <c r="E61" t="inlineStr">
        <is>
          <t>7.44%、0.86%和11.04%。2023年末缴存总额19418.42亿元比上年增长14.59%；缴存余额7745.01亿元同比增长11.98%。受委托办理住房</t>
        </is>
      </c>
      <c r="F61" t="inlineStr">
        <is>
          <t>https://www.shzfgjj.cn/html/newxxgk/ndbg/220229.html</t>
        </is>
      </c>
    </row>
    <row r="62">
      <c r="A62" t="n">
        <v>2023</v>
      </c>
      <c r="B62" t="inlineStr">
        <is>
          <t>loan_issued_100m</t>
        </is>
      </c>
      <c r="C62" t="n">
        <v>832.46</v>
      </c>
      <c r="D62" t="inlineStr">
        <is>
          <t>yes</t>
        </is>
      </c>
      <c r="E62" t="inlineStr">
        <is>
          <t>40万元）缴交补充公积金的最高贷款额度为100万元（个人为50万元）。2023年发放个人住房贷款11.02万笔832.46亿元同比分别下降2.48%、1.22%。</t>
        </is>
      </c>
      <c r="F62" t="inlineStr">
        <is>
          <t>https://www.shzfgjj.cn/html/newxxgk/ndbg/220229.html</t>
        </is>
      </c>
    </row>
    <row r="63">
      <c r="A63" t="n">
        <v>2023</v>
      </c>
      <c r="B63" t="inlineStr">
        <is>
          <t>loan_recovered_100m</t>
        </is>
      </c>
      <c r="C63" t="n">
        <v>682.42</v>
      </c>
      <c r="D63" t="inlineStr">
        <is>
          <t>yes</t>
        </is>
      </c>
      <c r="E63" t="inlineStr">
        <is>
          <t>年发放个人住房贷款11.02万笔832.46亿元同比分别下降2.48%、1.22%。2023年回收个人住房贷款682.42亿元。2023年末累计发放个人住房贷款3</t>
        </is>
      </c>
      <c r="F63" t="inlineStr">
        <is>
          <t>https://www.shzfgjj.cn/html/newxxgk/ndbg/220229.html</t>
        </is>
      </c>
    </row>
    <row r="64">
      <c r="A64" t="n">
        <v>2023</v>
      </c>
      <c r="B64" t="inlineStr">
        <is>
          <t>loan_balance_100m</t>
        </is>
      </c>
      <c r="C64" t="n">
        <v>6022.29</v>
      </c>
      <c r="D64" t="inlineStr">
        <is>
          <t>yes</t>
        </is>
      </c>
      <c r="E64" t="inlineStr">
        <is>
          <t>回收个人住房贷款682.42亿元。2023年末累计发放个人住房贷款322.14万笔12584.01亿元贷款余额6022.29亿元分别比上年增长3.54%、7.08%</t>
        </is>
      </c>
      <c r="F64" t="inlineStr">
        <is>
          <t>https://www.shzfgjj.cn/html/newxxgk/ndbg/220229.html</t>
        </is>
      </c>
    </row>
    <row r="65">
      <c r="A65" t="n">
        <v>2024</v>
      </c>
      <c r="B65" t="inlineStr">
        <is>
          <t>contributors_10k</t>
        </is>
      </c>
      <c r="C65" t="n">
        <v>931.26</v>
      </c>
      <c r="D65" t="inlineStr">
        <is>
          <t>yes</t>
        </is>
      </c>
      <c r="E65" t="inlineStr">
        <is>
          <t>.11万家净增单位3.04万家；新开户职工61.36万人净减职工13.00万人；实缴单位59.05万家实缴职工931.26万人缴存额2594.47亿元同比分别增长</t>
        </is>
      </c>
      <c r="F65" t="inlineStr">
        <is>
          <t>https://www.shzfgjj.cn/html/newxxgk/ndbg/227250.html</t>
        </is>
      </c>
    </row>
    <row r="66">
      <c r="A66" t="n">
        <v>2024</v>
      </c>
      <c r="B66" t="inlineStr">
        <is>
          <t>contributions_100m</t>
        </is>
      </c>
      <c r="C66" t="n">
        <v>2594.47</v>
      </c>
      <c r="D66" t="inlineStr">
        <is>
          <t>yes</t>
        </is>
      </c>
      <c r="E66" t="inlineStr">
        <is>
          <t>04万家；新开户职工61.36万人净减职工13.00万人；实缴单位59.05万家实缴职工931.26万人缴存额2594.47亿元同比分别增长5.41%、-1.38%</t>
        </is>
      </c>
      <c r="F66" t="inlineStr">
        <is>
          <t>https://www.shzfgjj.cn/html/newxxgk/ndbg/227250.html</t>
        </is>
      </c>
    </row>
    <row r="67">
      <c r="A67" t="n">
        <v>2024</v>
      </c>
      <c r="B67" t="inlineStr">
        <is>
          <t>withdrawals_100m</t>
        </is>
      </c>
      <c r="C67" t="n">
        <v>1693.9</v>
      </c>
      <c r="D67" t="inlineStr">
        <is>
          <t>yes</t>
        </is>
      </c>
      <c r="E67" t="inlineStr">
        <is>
          <t>1家。图1：2020-2024年缴存额情况（二）提取：2024年403.75万名缴存职工提取住房公积金；提取额1693.90亿元同比增长3.00%；提取额占当年缴存</t>
        </is>
      </c>
      <c r="F67" t="inlineStr">
        <is>
          <t>https://www.shzfgjj.cn/html/newxxgk/ndbg/227250.html</t>
        </is>
      </c>
    </row>
    <row r="68">
      <c r="A68" t="n">
        <v>2024</v>
      </c>
      <c r="B68" t="inlineStr">
        <is>
          <t>fund_balance_100m</t>
        </is>
      </c>
      <c r="C68" t="n">
        <v>8645.58</v>
      </c>
      <c r="D68" t="inlineStr">
        <is>
          <t>yes</t>
        </is>
      </c>
      <c r="E68" t="inlineStr">
        <is>
          <t>5.41%、-1.38%和4.91%。2024年末缴存总额22012.89亿元比上年增长13.36%；缴存余额8645.58亿元同比增长11.63%。受委托办理住房</t>
        </is>
      </c>
      <c r="F68" t="inlineStr">
        <is>
          <t>https://www.shzfgjj.cn/html/newxxgk/ndbg/227250.html</t>
        </is>
      </c>
    </row>
    <row r="69">
      <c r="A69" t="n">
        <v>2024</v>
      </c>
      <c r="B69" t="inlineStr">
        <is>
          <t>loan_issued_100m</t>
        </is>
      </c>
      <c r="C69" t="n">
        <v>951.23</v>
      </c>
      <c r="D69" t="inlineStr">
        <is>
          <t>yes</t>
        </is>
      </c>
      <c r="E69" t="inlineStr">
        <is>
          <t>50万元）缴交补充公积金的最高贷款额度为130万元（个人为65万元）。2024年发放个人住房贷款10.90万笔951.23亿元同比分别下降1.05%、增长14.2</t>
        </is>
      </c>
      <c r="F69" t="inlineStr">
        <is>
          <t>https://www.shzfgjj.cn/html/newxxgk/ndbg/227250.html</t>
        </is>
      </c>
    </row>
    <row r="70">
      <c r="A70" t="n">
        <v>2024</v>
      </c>
      <c r="B70" t="inlineStr">
        <is>
          <t>loan_recovered_100m</t>
        </is>
      </c>
      <c r="C70" t="n">
        <v>781.58</v>
      </c>
      <c r="D70" t="inlineStr">
        <is>
          <t>yes</t>
        </is>
      </c>
      <c r="E70" t="inlineStr">
        <is>
          <t>个人住房贷款10.90万笔951.23亿元同比分别下降1.05%、增长14.27%。2024年回收个人住房贷款781.58亿元。2024年末累计发放个人住房贷款3</t>
        </is>
      </c>
      <c r="F70" t="inlineStr">
        <is>
          <t>https://www.shzfgjj.cn/html/newxxgk/ndbg/227250.html</t>
        </is>
      </c>
    </row>
    <row r="71">
      <c r="A71" t="n">
        <v>2024</v>
      </c>
      <c r="B71" t="inlineStr">
        <is>
          <t>loan_balance_100m</t>
        </is>
      </c>
      <c r="C71" t="n">
        <v>6191.94</v>
      </c>
      <c r="D71" t="inlineStr">
        <is>
          <t>yes</t>
        </is>
      </c>
      <c r="E71" t="inlineStr">
        <is>
          <t>回收个人住房贷款781.58亿元。2024年末累计发放个人住房贷款333.05万笔13535.24亿元贷款余额6191.94亿元分别比上年增长3.39%、7.56%</t>
        </is>
      </c>
      <c r="F71" t="inlineStr">
        <is>
          <t>https://www.shzfgjj.cn/html/newxxgk/ndbg/227250.html</t>
        </is>
      </c>
    </row>
    <row r="72">
      <c r="A72" t="n">
        <v>2025</v>
      </c>
      <c r="B72" t="inlineStr">
        <is>
          <t>contributors_10k</t>
        </is>
      </c>
      <c r="C72" t="n">
        <v>923.26</v>
      </c>
      <c r="D72" t="inlineStr">
        <is>
          <t>yes</t>
        </is>
      </c>
      <c r="E72" t="inlineStr">
        <is>
          <t>户单位6.84万家净增单位1.83万家；新开户人数63.36万人净减人数8万人；实缴单位60.88万家实缴人数923.26万人缴存额2663.65亿元分别同比增长</t>
        </is>
      </c>
      <c r="F72" t="inlineStr">
        <is>
          <t>https://www.shzfgjj.cn/html/newxxgk/ndbg/228312.html</t>
        </is>
      </c>
    </row>
    <row r="73">
      <c r="A73" t="n">
        <v>2025</v>
      </c>
      <c r="B73" t="inlineStr">
        <is>
          <t>contributions_100m</t>
        </is>
      </c>
      <c r="C73" t="n">
        <v>2663.65</v>
      </c>
      <c r="D73" t="inlineStr">
        <is>
          <t>yes</t>
        </is>
      </c>
      <c r="E73" t="inlineStr">
        <is>
          <t>单位1.83万家；新开户人数63.36万人净减人数8万人；实缴单位60.88万家实缴人数923.26万人缴存额2663.65亿元分别同比增长3.10%、-0.86%</t>
        </is>
      </c>
      <c r="F73" t="inlineStr">
        <is>
          <t>https://www.shzfgjj.cn/html/newxxgk/ndbg/228312.html</t>
        </is>
      </c>
    </row>
    <row r="74">
      <c r="A74" t="n">
        <v>2025</v>
      </c>
      <c r="B74" t="inlineStr">
        <is>
          <t>withdrawals_100m</t>
        </is>
      </c>
      <c r="C74" t="n">
        <v>1842.64</v>
      </c>
      <c r="D74" t="inlineStr">
        <is>
          <t>yes</t>
        </is>
      </c>
      <c r="E74" t="inlineStr">
        <is>
          <t>行1家。图1：2021-2025年缴存额情况（二）提取：2025年419.16万名缴存人提取住房公积金；提取额1842.64亿元同比增长8.78%；提取额占当年缴存</t>
        </is>
      </c>
      <c r="F74" t="inlineStr">
        <is>
          <t>https://www.shzfgjj.cn/html/newxxgk/ndbg/228312.html</t>
        </is>
      </c>
    </row>
    <row r="75">
      <c r="A75" t="n">
        <v>2025</v>
      </c>
      <c r="B75" t="inlineStr">
        <is>
          <t>fund_balance_100m</t>
        </is>
      </c>
      <c r="C75" t="n">
        <v>9466.59</v>
      </c>
      <c r="D75" t="inlineStr">
        <is>
          <t>yes</t>
        </is>
      </c>
      <c r="E75" t="inlineStr">
        <is>
          <t>.10%、-0.86%和2.67%。2025年末缴存总额24676.54亿元比上年末增加12.10%；缴存余额9466.59亿元同比增长9.50%。受委托办理住房公</t>
        </is>
      </c>
      <c r="F75" t="inlineStr">
        <is>
          <t>https://www.shzfgjj.cn/html/newxxgk/ndbg/228312.html</t>
        </is>
      </c>
    </row>
    <row r="76">
      <c r="A76" t="n">
        <v>2025</v>
      </c>
      <c r="B76" t="inlineStr">
        <is>
          <t>loan_issued_100m</t>
        </is>
      </c>
      <c r="C76" t="n">
        <v>869.6</v>
      </c>
      <c r="D76" t="inlineStr">
        <is>
          <t>yes</t>
        </is>
      </c>
      <c r="E76" t="inlineStr">
        <is>
          <t>的上浮比例可叠加计算即住房公积金（含补充公积金）最高贷款额度上浮35%。2025年发放个人住房贷款9.42万笔869.60亿元同比分别下降13.58%、8.58%</t>
        </is>
      </c>
      <c r="F76" t="inlineStr">
        <is>
          <t>https://www.shzfgjj.cn/html/newxxgk/ndbg/228312.html</t>
        </is>
      </c>
    </row>
    <row r="77">
      <c r="A77" t="n">
        <v>2025</v>
      </c>
      <c r="B77" t="inlineStr">
        <is>
          <t>loan_recovered_100m</t>
        </is>
      </c>
      <c r="C77" t="n">
        <v>863.61</v>
      </c>
      <c r="D77" t="inlineStr">
        <is>
          <t>yes</t>
        </is>
      </c>
      <c r="E77" t="inlineStr">
        <is>
          <t>年发放个人住房贷款9.42万笔869.60亿元同比分别下降13.58%、8.58%。2025年回收个人住房贷款863.61亿元。2025年末累计发放个人住房贷款3</t>
        </is>
      </c>
      <c r="F77" t="inlineStr">
        <is>
          <t>https://www.shzfgjj.cn/html/newxxgk/ndbg/228312.html</t>
        </is>
      </c>
    </row>
    <row r="78">
      <c r="A78" t="n">
        <v>2025</v>
      </c>
      <c r="B78" t="inlineStr">
        <is>
          <t>loan_balance_100m</t>
        </is>
      </c>
      <c r="C78" t="n">
        <v>6197.93</v>
      </c>
      <c r="D78" t="inlineStr">
        <is>
          <t>yes</t>
        </is>
      </c>
      <c r="E78" t="inlineStr">
        <is>
          <t>回收个人住房贷款863.61亿元。2025年末累计发放个人住房贷款342.47万笔14404.84亿元贷款余额6197.93亿元分别比上年末增加2.83%、6.42</t>
        </is>
      </c>
      <c r="F78" t="inlineStr">
        <is>
          <t>https://www.shzfgjj.cn/html/newxxgk/ndbg/228312.html</t>
        </is>
      </c>
    </row>
  </sheetData>
  <autoFilter ref="A1:F7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7" customWidth="1" min="3" max="3"/>
    <col width="18" customWidth="1" min="4" max="4"/>
    <col width="13" customWidth="1" min="5" max="5"/>
    <col width="13" customWidth="1" min="6" max="6"/>
    <col width="13" customWidth="1" min="7" max="7"/>
    <col width="14" customWidth="1" min="8" max="8"/>
    <col width="13" customWidth="1" min="9" max="9"/>
  </cols>
  <sheetData>
    <row r="1">
      <c r="A1" s="1" t="inlineStr">
        <is>
          <t>id</t>
        </is>
      </c>
      <c r="B1" s="1" t="inlineStr">
        <is>
          <t>question</t>
        </is>
      </c>
      <c r="C1" s="1" t="inlineStr">
        <is>
          <t>missing_record</t>
        </is>
      </c>
      <c r="D1" s="1" t="inlineStr">
        <is>
          <t>checked_sources</t>
        </is>
      </c>
      <c r="E1" s="1" t="inlineStr">
        <is>
          <t>obstacle</t>
        </is>
      </c>
      <c r="F1" s="1" t="inlineStr">
        <is>
          <t>impact</t>
        </is>
      </c>
      <c r="G1" s="1" t="inlineStr">
        <is>
          <t>priority</t>
        </is>
      </c>
      <c r="H1" s="1" t="inlineStr">
        <is>
          <t>next_action</t>
        </is>
      </c>
      <c r="I1" s="1" t="inlineStr">
        <is>
          <t>status</t>
        </is>
      </c>
    </row>
    <row r="2">
      <c r="A2" t="inlineStr">
        <is>
          <t>G01</t>
        </is>
      </c>
      <c r="B2" t="inlineStr">
        <is>
          <t>2025区表归集与年报缴存差异</t>
        </is>
      </c>
      <c r="C2" t="inlineStr">
        <is>
          <t>官方逐项调节表</t>
        </is>
      </c>
      <c r="D2" t="inlineStr">
        <is>
          <t>2022-2025月报和年报</t>
        </is>
      </c>
      <c r="E2" t="inlineStr">
        <is>
          <t>公开文本未列归集与结转利息等项目的同口径调节</t>
        </is>
      </c>
      <c r="F2" t="inlineStr">
        <is>
          <t>不能完全解释每年约92至132亿元差额</t>
        </is>
      </c>
      <c r="G2" t="inlineStr">
        <is>
          <t>high</t>
        </is>
      </c>
      <c r="H2" t="inlineStr">
        <is>
          <t>申请已持有的指标说明及调节表</t>
        </is>
      </c>
      <c r="I2" t="inlineStr">
        <is>
          <t>not_obtained</t>
        </is>
      </c>
    </row>
    <row r="3">
      <c r="A3" t="inlineStr">
        <is>
          <t>G02</t>
        </is>
      </c>
      <c r="B3" t="inlineStr">
        <is>
          <t>单位性质的真实单位缴存福利</t>
        </is>
      </c>
      <c r="C3" t="inlineStr">
        <is>
          <t>单位性质×基本及补充单位缴存金额和人数</t>
        </is>
      </c>
      <c r="D3" t="inlineStr">
        <is>
          <t>2024和2025年报及单位预算</t>
        </is>
      </c>
      <c r="E3" t="inlineStr">
        <is>
          <t>年报只披露人数占比且2025分类变化</t>
        </is>
      </c>
      <c r="F3" t="inlineStr">
        <is>
          <t>不能估计公私部门平均单位缴存额</t>
        </is>
      </c>
      <c r="G3" t="inlineStr">
        <is>
          <t>high</t>
        </is>
      </c>
      <c r="H3" t="inlineStr">
        <is>
          <t>申请匿名既有汇总表</t>
        </is>
      </c>
      <c r="I3" t="inlineStr">
        <is>
          <t>not_obtained</t>
        </is>
      </c>
    </row>
    <row r="4">
      <c r="A4" t="inlineStr">
        <is>
          <t>G03</t>
        </is>
      </c>
      <c r="B4" t="inlineStr">
        <is>
          <t>低息贷款的群体获益概率</t>
        </is>
      </c>
      <c r="C4" t="inlineStr">
        <is>
          <t>收入×单位性质×资格×申请×核准×发放表</t>
        </is>
      </c>
      <c r="D4" t="inlineStr">
        <is>
          <t>2024和2025年报及贷款管理办法</t>
        </is>
      </c>
      <c r="E4" t="inlineStr">
        <is>
          <t>仅有借款人结构且2025收入组未披露</t>
        </is>
      </c>
      <c r="F4" t="inlineStr">
        <is>
          <t>不能估计申请成功率或2025分配效应</t>
        </is>
      </c>
      <c r="G4" t="inlineStr">
        <is>
          <t>high</t>
        </is>
      </c>
      <c r="H4" t="inlineStr">
        <is>
          <t>申请匿名资格漏斗</t>
        </is>
      </c>
      <c r="I4" t="inlineStr">
        <is>
          <t>not_obtained</t>
        </is>
      </c>
    </row>
    <row r="5">
      <c r="A5" t="inlineStr">
        <is>
          <t>G04</t>
        </is>
      </c>
      <c r="B5" t="inlineStr">
        <is>
          <t>住房交易中的公积金使用率</t>
        </is>
      </c>
      <c r="C5" t="inlineStr">
        <is>
          <t>同口径新房和二手房交易套数及合格家庭数</t>
        </is>
      </c>
      <c r="D5" t="inlineStr">
        <is>
          <t>上海统计公报和公积金年报</t>
        </is>
      </c>
      <c r="E5" t="inlineStr">
        <is>
          <t>现有住房交易面积与贷款笔数分母不同</t>
        </is>
      </c>
      <c r="F5" t="inlineStr">
        <is>
          <t>不能计算渗透率</t>
        </is>
      </c>
      <c r="G5" t="inlineStr">
        <is>
          <t>high</t>
        </is>
      </c>
      <c r="H5" t="inlineStr">
        <is>
          <t>获取住建部门同口径交易笔数</t>
        </is>
      </c>
      <c r="I5" t="inlineStr">
        <is>
          <t>not_obtained</t>
        </is>
      </c>
    </row>
    <row r="6">
      <c r="A6" t="inlineStr">
        <is>
          <t>G05</t>
        </is>
      </c>
      <c r="B6" t="inlineStr">
        <is>
          <t>长期存款流动性</t>
        </is>
      </c>
      <c r="C6" t="inlineStr">
        <is>
          <t>存款剩余期限和限制性现金及贷款现金流预测</t>
        </is>
      </c>
      <c r="D6" t="inlineStr">
        <is>
          <t>2024和2025年报</t>
        </is>
      </c>
      <c r="E6" t="inlineStr">
        <is>
          <t>只披露期末期限类别且无1至90天现金流</t>
        </is>
      </c>
      <c r="F6" t="inlineStr">
        <is>
          <t>不能判断压力情景兑付能力</t>
        </is>
      </c>
      <c r="G6" t="inlineStr">
        <is>
          <t>high</t>
        </is>
      </c>
      <c r="H6" t="inlineStr">
        <is>
          <t>申请期限梯度及限制性资产汇总</t>
        </is>
      </c>
      <c r="I6" t="inlineStr">
        <is>
          <t>not_obtained</t>
        </is>
      </c>
    </row>
    <row r="7">
      <c r="A7" t="inlineStr">
        <is>
          <t>G06</t>
        </is>
      </c>
      <c r="B7" t="inlineStr">
        <is>
          <t>风险准备金充足性</t>
        </is>
      </c>
      <c r="C7" t="inlineStr">
        <is>
          <t>计提基数规则和分户余额及损失情景</t>
        </is>
      </c>
      <c r="D7" t="inlineStr">
        <is>
          <t>年报和2026法条</t>
        </is>
      </c>
      <c r="E7" t="inlineStr">
        <is>
          <t>仅有计提额余额及不良余额</t>
        </is>
      </c>
      <c r="F7" t="inlineStr">
        <is>
          <t>不能认定达标或过量</t>
        </is>
      </c>
      <c r="G7" t="inlineStr">
        <is>
          <t>high</t>
        </is>
      </c>
      <c r="H7" t="inlineStr">
        <is>
          <t>取得2025有效计提办法及独立资金账户说明</t>
        </is>
      </c>
      <c r="I7" t="inlineStr">
        <is>
          <t>not_obtained</t>
        </is>
      </c>
    </row>
    <row r="8">
      <c r="A8" t="inlineStr">
        <is>
          <t>G07</t>
        </is>
      </c>
      <c r="B8" t="inlineStr">
        <is>
          <t>管理费用与财政账桥接</t>
        </is>
      </c>
      <c r="C8" t="inlineStr">
        <is>
          <t>公积金管理费用上缴财政与机构拨付的逐笔或汇总调节表</t>
        </is>
      </c>
      <c r="D8" t="inlineStr">
        <is>
          <t>2024和2025机构决算、2025预算、两年公积金年报、2025适用国家条例</t>
        </is>
      </c>
      <c r="E8" t="inlineStr">
        <is>
          <t>2025单位决算已取得；财政拨款与年报管理费在舍入内接近但未披露同一资金链的实际交易对账</t>
        </is>
      </c>
      <c r="F8" t="inlineStr">
        <is>
          <t>可验证财政预算与实际执行及金额接近，仍不能确认全部拨款来源或双账抵销</t>
        </is>
      </c>
      <c r="G8" t="inlineStr">
        <is>
          <t>high</t>
        </is>
      </c>
      <c r="H8" t="inlineStr">
        <is>
          <t>申请已有管理费上缴财政和拨付收入的款项调节说明</t>
        </is>
      </c>
      <c r="I8" t="inlineStr">
        <is>
          <t>partially_obtained</t>
        </is>
      </c>
    </row>
    <row r="9">
      <c r="A9" t="inlineStr">
        <is>
          <t>G08</t>
        </is>
      </c>
      <c r="B9" t="inlineStr">
        <is>
          <t>租房政策因果效应</t>
        </is>
      </c>
      <c r="C9" t="inlineStr">
        <is>
          <t>按事项月度租房提取金额及可比对照</t>
        </is>
      </c>
      <c r="D9" t="inlineStr">
        <is>
          <t>2022-2025区级总提取与2024政策通知</t>
        </is>
      </c>
      <c r="E9" t="inlineStr">
        <is>
          <t>月报只有总提取且所有区同受政策</t>
        </is>
      </c>
      <c r="F9" t="inlineStr">
        <is>
          <t>不能进行可信DiD或事件研究</t>
        </is>
      </c>
      <c r="G9" t="inlineStr">
        <is>
          <t>high</t>
        </is>
      </c>
      <c r="H9" t="inlineStr">
        <is>
          <t>申请按事项月度汇总及处理组定义</t>
        </is>
      </c>
      <c r="I9" t="inlineStr">
        <is>
          <t>not_obtained</t>
        </is>
      </c>
    </row>
    <row r="10">
      <c r="A10" t="inlineStr">
        <is>
          <t>G09</t>
        </is>
      </c>
      <c r="B10" t="inlineStr">
        <is>
          <t>月度提取高峰原因</t>
        </is>
      </c>
      <c r="C10" t="inlineStr">
        <is>
          <t>4月和9月按事项与批次分解</t>
        </is>
      </c>
      <c r="D10" t="inlineStr">
        <is>
          <t>2022-2025区级月报</t>
        </is>
      </c>
      <c r="E10" t="inlineStr">
        <is>
          <t>总额高峰跨年存在但无提取原因月度明细</t>
        </is>
      </c>
      <c r="F10" t="inlineStr">
        <is>
          <t>不能归因于租房或还贷业务</t>
        </is>
      </c>
      <c r="G10" t="inlineStr">
        <is>
          <t>medium</t>
        </is>
      </c>
      <c r="H10" t="inlineStr">
        <is>
          <t>申请已有月度事项表</t>
        </is>
      </c>
      <c r="I10" t="inlineStr">
        <is>
          <t>not_obtained</t>
        </is>
      </c>
    </row>
    <row r="11">
      <c r="A11" t="inlineStr">
        <is>
          <t>G10</t>
        </is>
      </c>
      <c r="B11" t="inlineStr">
        <is>
          <t>公众部门直接支付的全市单位福利</t>
        </is>
      </c>
      <c r="C11" t="inlineStr">
        <is>
          <t>机关事业单位及国企决算人数与缴存金额交叉</t>
        </is>
      </c>
      <c r="D11" t="inlineStr">
        <is>
          <t>单位预算和公积金年报</t>
        </is>
      </c>
      <c r="E11" t="inlineStr">
        <is>
          <t>单个机构预算不能代表全市且多重账本</t>
        </is>
      </c>
      <c r="F11" t="inlineStr">
        <is>
          <t>不能计算财政负担或福利分布</t>
        </is>
      </c>
      <c r="G11" t="inlineStr">
        <is>
          <t>high</t>
        </is>
      </c>
      <c r="H11" t="inlineStr">
        <is>
          <t>只在现存政府统计范围申请分类汇总</t>
        </is>
      </c>
      <c r="I11" t="inlineStr">
        <is>
          <t>not_obtained</t>
        </is>
      </c>
    </row>
  </sheetData>
  <autoFilter ref="A1:I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 customWidth="1" min="1" max="1"/>
    <col width="31" customWidth="1" min="2" max="2"/>
    <col width="34" customWidth="1" min="3" max="3"/>
    <col width="26" customWidth="1" min="4" max="4"/>
    <col width="25" customWidth="1" min="5" max="5"/>
    <col width="25" customWidth="1" min="6" max="6"/>
    <col width="13" customWidth="1" min="7" max="7"/>
  </cols>
  <sheetData>
    <row r="1">
      <c r="A1" s="1" t="inlineStr">
        <is>
          <t>year</t>
        </is>
      </c>
      <c r="B1" s="1" t="inlineStr">
        <is>
          <t>reported_management_fee_100m</t>
        </is>
      </c>
      <c r="C1" s="1" t="inlineStr">
        <is>
          <t>actual_fiscal_appropriation_10k</t>
        </is>
      </c>
      <c r="D1" s="1" t="inlineStr">
        <is>
          <t>rounded_fee_10k_formula</t>
        </is>
      </c>
      <c r="E1" s="1" t="inlineStr">
        <is>
          <t>difference_10k_formula</t>
        </is>
      </c>
      <c r="F1" s="1" t="inlineStr">
        <is>
          <t>rounding_half_unit_10k</t>
        </is>
      </c>
      <c r="G1" s="1" t="inlineStr">
        <is>
          <t>status</t>
        </is>
      </c>
    </row>
    <row r="2">
      <c r="A2" t="n">
        <v>2024</v>
      </c>
      <c r="B2" t="n">
        <v>2.02</v>
      </c>
      <c r="C2" t="n">
        <v>20214.11</v>
      </c>
      <c r="D2">
        <f>B2*10000</f>
        <v/>
      </c>
      <c r="E2">
        <f>C2-D2</f>
        <v/>
      </c>
      <c r="F2" t="n">
        <v>50</v>
      </c>
      <c r="G2" t="inlineStr">
        <is>
          <t>amounts compatible with common transfer route; transactions not reconciled</t>
        </is>
      </c>
    </row>
    <row r="3">
      <c r="A3" t="n">
        <v>2025</v>
      </c>
      <c r="B3" t="n">
        <v>2.08</v>
      </c>
      <c r="C3" t="n">
        <v>20782.57</v>
      </c>
      <c r="D3">
        <f>B3*10000</f>
        <v/>
      </c>
      <c r="E3">
        <f>C3-D3</f>
        <v/>
      </c>
      <c r="F3" t="n">
        <v>50</v>
      </c>
      <c r="G3" t="inlineStr">
        <is>
          <t>amounts compatible with common transfer route; transactions not reconciled</t>
        </is>
      </c>
    </row>
  </sheetData>
  <autoFilter ref="A1:G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8" customWidth="1" min="3" max="3"/>
    <col width="13" customWidth="1" min="4" max="4"/>
    <col width="22" customWidth="1" min="5" max="5"/>
    <col width="29" customWidth="1" min="6" max="6"/>
    <col width="25" customWidth="1" min="7" max="7"/>
    <col width="24" customWidth="1" min="8" max="8"/>
    <col width="13" customWidth="1" min="9" max="9"/>
  </cols>
  <sheetData>
    <row r="1">
      <c r="A1" s="1" t="inlineStr">
        <is>
          <t>principal_cny</t>
        </is>
      </c>
      <c r="B1" s="1" t="inlineStr">
        <is>
          <t>hpf_rate</t>
        </is>
      </c>
      <c r="C1" s="1" t="inlineStr">
        <is>
          <t>commercial_rate</t>
        </is>
      </c>
      <c r="D1" s="1" t="inlineStr">
        <is>
          <t>months</t>
        </is>
      </c>
      <c r="E1" s="1" t="inlineStr">
        <is>
          <t>hpf_payment_formula</t>
        </is>
      </c>
      <c r="F1" s="1" t="inlineStr">
        <is>
          <t>commercial_payment_formula</t>
        </is>
      </c>
      <c r="G1" s="1" t="inlineStr">
        <is>
          <t>nominal_saving_formula</t>
        </is>
      </c>
      <c r="H1" s="1" t="inlineStr">
        <is>
          <t>present_value_formula</t>
        </is>
      </c>
      <c r="I1" s="1" t="inlineStr">
        <is>
          <t>status</t>
        </is>
      </c>
    </row>
    <row r="2">
      <c r="A2" t="n">
        <v>1000000</v>
      </c>
      <c r="B2" t="n">
        <v>0.026</v>
      </c>
      <c r="C2" t="n">
        <v>0.031</v>
      </c>
      <c r="D2" t="n">
        <v>360</v>
      </c>
      <c r="E2">
        <f>PMT(B2/12,D2,-A2)</f>
        <v/>
      </c>
      <c r="F2">
        <f>PMT(C2/12,D2,-A2)</f>
        <v/>
      </c>
      <c r="G2">
        <f>(F2-E2)*D2</f>
        <v/>
      </c>
      <c r="H2">
        <f>(F2-E2)*(1-(1+C2/12)^(-D2))/(C2/12)</f>
        <v/>
      </c>
      <c r="I2" t="inlineStr">
        <is>
          <t>hypothetical matched-risk commercial rate; no observed subsidy total</t>
        </is>
      </c>
    </row>
    <row r="3">
      <c r="A3" t="n">
        <v>1000000</v>
      </c>
      <c r="B3" t="n">
        <v>0.026</v>
      </c>
      <c r="C3" t="n">
        <v>0.035</v>
      </c>
      <c r="D3" t="n">
        <v>360</v>
      </c>
      <c r="E3">
        <f>PMT(B3/12,D3,-A3)</f>
        <v/>
      </c>
      <c r="F3">
        <f>PMT(C3/12,D3,-A3)</f>
        <v/>
      </c>
      <c r="G3">
        <f>(F3-E3)*D3</f>
        <v/>
      </c>
      <c r="H3">
        <f>(F3-E3)*(1-(1+C3/12)^(-D3))/(C3/12)</f>
        <v/>
      </c>
      <c r="I3" t="inlineStr">
        <is>
          <t>hypothetical matched-risk commercial rate; no observed subsidy total</t>
        </is>
      </c>
    </row>
    <row r="4">
      <c r="A4" t="n">
        <v>1000000</v>
      </c>
      <c r="B4" t="n">
        <v>0.026</v>
      </c>
      <c r="C4" t="n">
        <v>0.04</v>
      </c>
      <c r="D4" t="n">
        <v>360</v>
      </c>
      <c r="E4">
        <f>PMT(B4/12,D4,-A4)</f>
        <v/>
      </c>
      <c r="F4">
        <f>PMT(C4/12,D4,-A4)</f>
        <v/>
      </c>
      <c r="G4">
        <f>(F4-E4)*D4</f>
        <v/>
      </c>
      <c r="H4">
        <f>(F4-E4)*(1-(1+C4/12)^(-D4))/(C4/12)</f>
        <v/>
      </c>
      <c r="I4" t="inlineStr">
        <is>
          <t>hypothetical matched-risk commercial rate; no observed subsidy total</t>
        </is>
      </c>
    </row>
  </sheetData>
  <autoFilter ref="A1:I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25" customWidth="1" min="3" max="3"/>
    <col width="33" customWidth="1" min="4" max="4"/>
    <col width="37" customWidth="1" min="5" max="5"/>
    <col width="13" customWidth="1" min="6" max="6"/>
  </cols>
  <sheetData>
    <row r="1">
      <c r="A1" s="1" t="inlineStr">
        <is>
          <t>annual_withdrawals_100m</t>
        </is>
      </c>
      <c r="B1" s="1" t="inlineStr">
        <is>
          <t>shock_pct</t>
        </is>
      </c>
      <c r="C1" s="1" t="inlineStr">
        <is>
          <t>year_end_deposits_100m</t>
        </is>
      </c>
      <c r="D1" s="1" t="inlineStr">
        <is>
          <t>incremental_withdrawal_formula</t>
        </is>
      </c>
      <c r="E1" s="1" t="inlineStr">
        <is>
          <t>share_of_year_end_deposits_formula</t>
        </is>
      </c>
      <c r="F1" s="1" t="inlineStr">
        <is>
          <t>limitation</t>
        </is>
      </c>
    </row>
    <row r="2">
      <c r="A2" t="n">
        <v>1842.64</v>
      </c>
      <c r="B2" t="n">
        <v>20</v>
      </c>
      <c r="C2" t="n">
        <v>3287.72</v>
      </c>
      <c r="D2">
        <f>A2*B2/100</f>
        <v/>
      </c>
      <c r="E2">
        <f>D2/C2*100</f>
        <v/>
      </c>
      <c r="F2" t="inlineStr">
        <is>
          <t>Illustrative annual shock; not a 1-90 day liquidity test</t>
        </is>
      </c>
    </row>
    <row r="3">
      <c r="A3" t="n">
        <v>1842.64</v>
      </c>
      <c r="B3" t="n">
        <v>50</v>
      </c>
      <c r="C3" t="n">
        <v>3287.72</v>
      </c>
      <c r="D3">
        <f>A3*B3/100</f>
        <v/>
      </c>
      <c r="E3">
        <f>D3/C3*100</f>
        <v/>
      </c>
      <c r="F3" t="inlineStr">
        <is>
          <t>Illustrative annual shock; not a 1-90 day liquidity test</t>
        </is>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2026-10-27T08:19:21Z</dcterms:created>
  <dcterms:modified xmlns:dcterms="http://purl.org/dc/terms/" xmlns:xsi="http://www.w3.org/2001/XMLSchema-instance" xsi:type="dcterms:W3CDTF">2026-10-27T08:19:21Z</dcterms:modified>
</cp:coreProperties>
</file>